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minimized="1" xWindow="0" yWindow="0" windowWidth="23040" windowHeight="9948" firstSheet="4" activeTab="8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9" r:id="rId8"/>
    <sheet name="DATA" sheetId="1" r:id="rId9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12" i="1" l="1"/>
  <c r="Q2" i="1"/>
  <c r="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2" i="1"/>
  <c r="AA52" i="1"/>
  <c r="Z55" i="1"/>
  <c r="AA55" i="1" s="1"/>
  <c r="Z85" i="1"/>
  <c r="AA85" i="1" s="1"/>
  <c r="Z24" i="1"/>
  <c r="AA24" i="1" s="1"/>
  <c r="Z86" i="1"/>
  <c r="AA86" i="1" s="1"/>
  <c r="Z71" i="1"/>
  <c r="AA71" i="1" s="1"/>
  <c r="Z72" i="1"/>
  <c r="AA72" i="1" s="1"/>
  <c r="Z73" i="1"/>
  <c r="AA73" i="1" s="1"/>
  <c r="Z87" i="1"/>
  <c r="AA87" i="1" s="1"/>
  <c r="Z11" i="1"/>
  <c r="AA11" i="1" s="1"/>
  <c r="Z27" i="1"/>
  <c r="AA27" i="1" s="1"/>
  <c r="Z28" i="1"/>
  <c r="AA28" i="1" s="1"/>
  <c r="Z29" i="1"/>
  <c r="AA29" i="1" s="1"/>
  <c r="Z88" i="1"/>
  <c r="AA88" i="1" s="1"/>
  <c r="Z56" i="1"/>
  <c r="AA56" i="1" s="1"/>
  <c r="Z7" i="1"/>
  <c r="AA7" i="1" s="1"/>
  <c r="Z89" i="1"/>
  <c r="AA89" i="1" s="1"/>
  <c r="Z18" i="1"/>
  <c r="AA18" i="1" s="1"/>
  <c r="Z2" i="1"/>
  <c r="AA2" i="1" s="1"/>
  <c r="Z102" i="1"/>
  <c r="AA102" i="1" s="1"/>
  <c r="Z81" i="1"/>
  <c r="AA81" i="1" s="1"/>
  <c r="Z90" i="1"/>
  <c r="AA90" i="1" s="1"/>
  <c r="Z30" i="1"/>
  <c r="AA30" i="1" s="1"/>
  <c r="Z16" i="1"/>
  <c r="AA16" i="1" s="1"/>
  <c r="Z31" i="1"/>
  <c r="AA31" i="1" s="1"/>
  <c r="Z9" i="1"/>
  <c r="AA9" i="1" s="1"/>
  <c r="Z32" i="1"/>
  <c r="AA32" i="1" s="1"/>
  <c r="Z108" i="1"/>
  <c r="AA108" i="1" s="1"/>
  <c r="Z103" i="1"/>
  <c r="AA103" i="1" s="1"/>
  <c r="Z109" i="1"/>
  <c r="AA109" i="1" s="1"/>
  <c r="Z20" i="1"/>
  <c r="AA20" i="1" s="1"/>
  <c r="Z91" i="1"/>
  <c r="AA91" i="1" s="1"/>
  <c r="Z65" i="1"/>
  <c r="AA65" i="1" s="1"/>
  <c r="Z66" i="1"/>
  <c r="AA66" i="1" s="1"/>
  <c r="Z33" i="1"/>
  <c r="AA33" i="1" s="1"/>
  <c r="Z92" i="1"/>
  <c r="AA92" i="1" s="1"/>
  <c r="Z69" i="1"/>
  <c r="AA69" i="1" s="1"/>
  <c r="Z34" i="1"/>
  <c r="AA34" i="1" s="1"/>
  <c r="Z74" i="1"/>
  <c r="AA74" i="1" s="1"/>
  <c r="Z110" i="1"/>
  <c r="AA110" i="1" s="1"/>
  <c r="Z35" i="1"/>
  <c r="AA35" i="1" s="1"/>
  <c r="Z36" i="1"/>
  <c r="AA36" i="1" s="1"/>
  <c r="Z104" i="1"/>
  <c r="AA104" i="1" s="1"/>
  <c r="Z99" i="1"/>
  <c r="AA99" i="1" s="1"/>
  <c r="Z70" i="1"/>
  <c r="AA70" i="1" s="1"/>
  <c r="Z75" i="1"/>
  <c r="AA75" i="1" s="1"/>
  <c r="Z37" i="1"/>
  <c r="AA37" i="1" s="1"/>
  <c r="Z38" i="1"/>
  <c r="AA38" i="1" s="1"/>
  <c r="Z39" i="1"/>
  <c r="AA39" i="1" s="1"/>
  <c r="Z40" i="1"/>
  <c r="AA40" i="1" s="1"/>
  <c r="Z19" i="1"/>
  <c r="AA19" i="1" s="1"/>
  <c r="Z84" i="1"/>
  <c r="AA84" i="1" s="1"/>
  <c r="Z57" i="1"/>
  <c r="AA57" i="1" s="1"/>
  <c r="Z12" i="1"/>
  <c r="AA12" i="1" s="1"/>
  <c r="Z67" i="1"/>
  <c r="AA67" i="1" s="1"/>
  <c r="Z41" i="1"/>
  <c r="AA41" i="1" s="1"/>
  <c r="Z52" i="1"/>
  <c r="Z93" i="1"/>
  <c r="AA93" i="1" s="1"/>
  <c r="Z94" i="1"/>
  <c r="AA94" i="1" s="1"/>
  <c r="Z58" i="1"/>
  <c r="AA58" i="1" s="1"/>
  <c r="Z8" i="1"/>
  <c r="AA8" i="1" s="1"/>
  <c r="Z101" i="1"/>
  <c r="AA101" i="1" s="1"/>
  <c r="Z107" i="1"/>
  <c r="AA107" i="1" s="1"/>
  <c r="Z76" i="1"/>
  <c r="AA76" i="1" s="1"/>
  <c r="Z53" i="1"/>
  <c r="AA53" i="1" s="1"/>
  <c r="Z106" i="1"/>
  <c r="AA106" i="1" s="1"/>
  <c r="Z13" i="1"/>
  <c r="AA13" i="1" s="1"/>
  <c r="Z77" i="1"/>
  <c r="AA77" i="1" s="1"/>
  <c r="Z95" i="1"/>
  <c r="AA95" i="1" s="1"/>
  <c r="Z82" i="1"/>
  <c r="AA82" i="1" s="1"/>
  <c r="Z3" i="1"/>
  <c r="AA3" i="1" s="1"/>
  <c r="Z111" i="1"/>
  <c r="AA111" i="1" s="1"/>
  <c r="Z42" i="1"/>
  <c r="AA42" i="1" s="1"/>
  <c r="Z51" i="1"/>
  <c r="AA51" i="1" s="1"/>
  <c r="Z68" i="1"/>
  <c r="AA68" i="1" s="1"/>
  <c r="Z59" i="1"/>
  <c r="AA59" i="1" s="1"/>
  <c r="Z21" i="1"/>
  <c r="AA21" i="1" s="1"/>
  <c r="Z6" i="1"/>
  <c r="AA6" i="1" s="1"/>
  <c r="Z60" i="1"/>
  <c r="AA60" i="1" s="1"/>
  <c r="Z14" i="1"/>
  <c r="AA14" i="1" s="1"/>
  <c r="Z96" i="1"/>
  <c r="AA96" i="1" s="1"/>
  <c r="Z4" i="1"/>
  <c r="AA4" i="1" s="1"/>
  <c r="Z43" i="1"/>
  <c r="AA43" i="1" s="1"/>
  <c r="Z10" i="1"/>
  <c r="AA10" i="1" s="1"/>
  <c r="Z78" i="1"/>
  <c r="AA78" i="1" s="1"/>
  <c r="Z44" i="1"/>
  <c r="AA44" i="1" s="1"/>
  <c r="Z61" i="1"/>
  <c r="AA61" i="1" s="1"/>
  <c r="Z45" i="1"/>
  <c r="AA45" i="1" s="1"/>
  <c r="Z79" i="1"/>
  <c r="AA79" i="1" s="1"/>
  <c r="Z5" i="1"/>
  <c r="AA5" i="1" s="1"/>
  <c r="Z17" i="1"/>
  <c r="AA17" i="1" s="1"/>
  <c r="Z83" i="1"/>
  <c r="AA83" i="1" s="1"/>
  <c r="Z63" i="1"/>
  <c r="AA63" i="1" s="1"/>
  <c r="Z46" i="1"/>
  <c r="AA46" i="1" s="1"/>
  <c r="Z47" i="1"/>
  <c r="AA47" i="1" s="1"/>
  <c r="Z105" i="1"/>
  <c r="AA105" i="1" s="1"/>
  <c r="Z80" i="1"/>
  <c r="AA80" i="1" s="1"/>
  <c r="Z48" i="1"/>
  <c r="AA48" i="1" s="1"/>
  <c r="Z97" i="1"/>
  <c r="AA97" i="1" s="1"/>
  <c r="Z15" i="1"/>
  <c r="AA15" i="1" s="1"/>
  <c r="Z22" i="1"/>
  <c r="AA22" i="1" s="1"/>
  <c r="Z54" i="1"/>
  <c r="AA54" i="1" s="1"/>
  <c r="Z25" i="1"/>
  <c r="AA25" i="1" s="1"/>
  <c r="Z49" i="1"/>
  <c r="AA49" i="1" s="1"/>
  <c r="Z62" i="1"/>
  <c r="AA62" i="1" s="1"/>
  <c r="Z50" i="1"/>
  <c r="AA50" i="1" s="1"/>
  <c r="Z64" i="1"/>
  <c r="AA64" i="1" s="1"/>
  <c r="Z98" i="1"/>
  <c r="AA98" i="1" s="1"/>
  <c r="Z100" i="1"/>
  <c r="AA100" i="1" s="1"/>
  <c r="Z112" i="1"/>
  <c r="AA112" i="1" s="1"/>
  <c r="Z23" i="1"/>
  <c r="AA23" i="1" s="1"/>
  <c r="Z26" i="1"/>
  <c r="AA26" i="1" s="1"/>
  <c r="S61" i="1"/>
  <c r="T61" i="1" s="1"/>
  <c r="S45" i="1"/>
  <c r="T45" i="1" s="1"/>
  <c r="S77" i="1"/>
  <c r="T77" i="1" s="1"/>
  <c r="S92" i="1"/>
  <c r="T92" i="1" s="1"/>
  <c r="S26" i="1"/>
  <c r="T26" i="1" s="1"/>
  <c r="S93" i="1"/>
  <c r="T93" i="1" s="1"/>
  <c r="S2" i="1"/>
  <c r="T2" i="1" s="1"/>
  <c r="S79" i="1"/>
  <c r="T79" i="1" s="1"/>
  <c r="S22" i="1"/>
  <c r="T22" i="1" s="1"/>
  <c r="S69" i="1"/>
  <c r="T69" i="1" s="1"/>
  <c r="S42" i="1"/>
  <c r="T42" i="1" s="1"/>
  <c r="S20" i="1"/>
  <c r="T20" i="1" s="1"/>
  <c r="S34" i="1"/>
  <c r="T34" i="1" s="1"/>
  <c r="S46" i="1"/>
  <c r="T46" i="1" s="1"/>
  <c r="S74" i="1"/>
  <c r="T74" i="1" s="1"/>
  <c r="S88" i="1"/>
  <c r="T88" i="1" s="1"/>
  <c r="S94" i="1"/>
  <c r="T94" i="1" s="1"/>
  <c r="S40" i="1"/>
  <c r="T40" i="1" s="1"/>
  <c r="S102" i="1"/>
  <c r="T102" i="1" s="1"/>
  <c r="S82" i="1"/>
  <c r="T82" i="1" s="1"/>
  <c r="S55" i="1"/>
  <c r="T55" i="1" s="1"/>
  <c r="S64" i="1"/>
  <c r="T64" i="1" s="1"/>
  <c r="S110" i="1"/>
  <c r="T110" i="1" s="1"/>
  <c r="S47" i="1"/>
  <c r="T47" i="1" s="1"/>
  <c r="S87" i="1"/>
  <c r="T87" i="1" s="1"/>
  <c r="S89" i="1"/>
  <c r="T89" i="1" s="1"/>
  <c r="S51" i="1"/>
  <c r="T51" i="1" s="1"/>
  <c r="S68" i="1"/>
  <c r="T68" i="1" s="1"/>
  <c r="S85" i="1"/>
  <c r="T85" i="1" s="1"/>
  <c r="S11" i="1"/>
  <c r="T11" i="1" s="1"/>
  <c r="S32" i="1"/>
  <c r="T32" i="1" s="1"/>
  <c r="S100" i="1"/>
  <c r="T100" i="1" s="1"/>
  <c r="S7" i="1"/>
  <c r="T7" i="1" s="1"/>
  <c r="S98" i="1"/>
  <c r="T98" i="1" s="1"/>
  <c r="S24" i="1"/>
  <c r="T24" i="1" s="1"/>
  <c r="S105" i="1"/>
  <c r="T105" i="1" s="1"/>
  <c r="S56" i="1"/>
  <c r="T56" i="1" s="1"/>
  <c r="S91" i="1"/>
  <c r="T91" i="1" s="1"/>
  <c r="S35" i="1"/>
  <c r="T35" i="1" s="1"/>
  <c r="S81" i="1"/>
  <c r="T81" i="1" s="1"/>
  <c r="S95" i="1"/>
  <c r="T95" i="1" s="1"/>
  <c r="S72" i="1"/>
  <c r="T72" i="1" s="1"/>
  <c r="S27" i="1"/>
  <c r="T27" i="1" s="1"/>
  <c r="S5" i="1"/>
  <c r="T5" i="1" s="1"/>
  <c r="S36" i="1"/>
  <c r="T36" i="1" s="1"/>
  <c r="S86" i="1"/>
  <c r="T86" i="1" s="1"/>
  <c r="S10" i="1"/>
  <c r="T10" i="1" s="1"/>
  <c r="S58" i="1"/>
  <c r="T58" i="1" s="1"/>
  <c r="S8" i="1"/>
  <c r="T8" i="1" s="1"/>
  <c r="S108" i="1"/>
  <c r="T108" i="1" s="1"/>
  <c r="S3" i="1"/>
  <c r="T3" i="1" s="1"/>
  <c r="S104" i="1"/>
  <c r="T104" i="1" s="1"/>
  <c r="S62" i="1"/>
  <c r="T62" i="1" s="1"/>
  <c r="S90" i="1"/>
  <c r="T90" i="1" s="1"/>
  <c r="S65" i="1"/>
  <c r="T65" i="1" s="1"/>
  <c r="S59" i="1"/>
  <c r="T59" i="1" s="1"/>
  <c r="S57" i="1"/>
  <c r="T57" i="1" s="1"/>
  <c r="S18" i="1"/>
  <c r="T18" i="1" s="1"/>
  <c r="S84" i="1"/>
  <c r="T84" i="1" s="1"/>
  <c r="S50" i="1"/>
  <c r="T50" i="1" s="1"/>
  <c r="S101" i="1"/>
  <c r="T101" i="1" s="1"/>
  <c r="S66" i="1"/>
  <c r="T66" i="1" s="1"/>
  <c r="S54" i="1"/>
  <c r="T54" i="1" s="1"/>
  <c r="S112" i="1"/>
  <c r="T112" i="1" s="1"/>
  <c r="S78" i="1"/>
  <c r="T78" i="1" s="1"/>
  <c r="S28" i="1"/>
  <c r="T28" i="1" s="1"/>
  <c r="S99" i="1"/>
  <c r="T99" i="1" s="1"/>
  <c r="S21" i="1"/>
  <c r="T21" i="1" s="1"/>
  <c r="S12" i="1"/>
  <c r="T12" i="1" s="1"/>
  <c r="S107" i="1"/>
  <c r="T107" i="1" s="1"/>
  <c r="S30" i="1"/>
  <c r="T30" i="1" s="1"/>
  <c r="S25" i="1"/>
  <c r="T25" i="1" s="1"/>
  <c r="S16" i="1"/>
  <c r="T16" i="1" s="1"/>
  <c r="S70" i="1"/>
  <c r="T70" i="1" s="1"/>
  <c r="S80" i="1"/>
  <c r="T80" i="1" s="1"/>
  <c r="S17" i="1"/>
  <c r="T17" i="1" s="1"/>
  <c r="S75" i="1"/>
  <c r="T75" i="1" s="1"/>
  <c r="S67" i="1"/>
  <c r="T67" i="1" s="1"/>
  <c r="S52" i="1"/>
  <c r="T52" i="1" s="1"/>
  <c r="S76" i="1"/>
  <c r="T76" i="1" s="1"/>
  <c r="S37" i="1"/>
  <c r="T37" i="1" s="1"/>
  <c r="S48" i="1"/>
  <c r="T48" i="1" s="1"/>
  <c r="S6" i="1"/>
  <c r="T6" i="1" s="1"/>
  <c r="S60" i="1"/>
  <c r="T60" i="1" s="1"/>
  <c r="S53" i="1"/>
  <c r="T53" i="1" s="1"/>
  <c r="S14" i="1"/>
  <c r="T14" i="1" s="1"/>
  <c r="S19" i="1"/>
  <c r="T19" i="1" s="1"/>
  <c r="S49" i="1"/>
  <c r="T49" i="1" s="1"/>
  <c r="S96" i="1"/>
  <c r="T96" i="1" s="1"/>
  <c r="S4" i="1"/>
  <c r="T4" i="1" s="1"/>
  <c r="S83" i="1"/>
  <c r="T83" i="1" s="1"/>
  <c r="S38" i="1"/>
  <c r="T38" i="1" s="1"/>
  <c r="S106" i="1"/>
  <c r="T106" i="1" s="1"/>
  <c r="S44" i="1"/>
  <c r="T44" i="1" s="1"/>
  <c r="S97" i="1"/>
  <c r="T97" i="1" s="1"/>
  <c r="S63" i="1"/>
  <c r="T63" i="1" s="1"/>
  <c r="S111" i="1"/>
  <c r="T111" i="1" s="1"/>
  <c r="S31" i="1"/>
  <c r="T31" i="1" s="1"/>
  <c r="S41" i="1"/>
  <c r="T41" i="1" s="1"/>
  <c r="S15" i="1"/>
  <c r="T15" i="1" s="1"/>
  <c r="S103" i="1"/>
  <c r="T103" i="1" s="1"/>
  <c r="S13" i="1"/>
  <c r="T13" i="1" s="1"/>
  <c r="S9" i="1"/>
  <c r="T9" i="1" s="1"/>
  <c r="S71" i="1"/>
  <c r="T71" i="1" s="1"/>
  <c r="S39" i="1"/>
  <c r="T39" i="1" s="1"/>
  <c r="S29" i="1"/>
  <c r="T29" i="1" s="1"/>
  <c r="S23" i="1"/>
  <c r="T23" i="1" s="1"/>
  <c r="S109" i="1"/>
  <c r="T109" i="1" s="1"/>
  <c r="S43" i="1"/>
  <c r="T43" i="1" s="1"/>
  <c r="S73" i="1"/>
  <c r="T73" i="1" s="1"/>
  <c r="S33" i="1"/>
  <c r="T33" i="1" s="1"/>
  <c r="P61" i="1"/>
  <c r="Q61" i="1" s="1"/>
  <c r="P45" i="1"/>
  <c r="Q45" i="1" s="1"/>
  <c r="P77" i="1"/>
  <c r="Q77" i="1" s="1"/>
  <c r="P92" i="1"/>
  <c r="Q92" i="1" s="1"/>
  <c r="P26" i="1"/>
  <c r="Q26" i="1" s="1"/>
  <c r="P93" i="1"/>
  <c r="Q93" i="1" s="1"/>
  <c r="P2" i="1"/>
  <c r="P79" i="1"/>
  <c r="Q79" i="1" s="1"/>
  <c r="P22" i="1"/>
  <c r="Q22" i="1" s="1"/>
  <c r="P69" i="1"/>
  <c r="Q69" i="1" s="1"/>
  <c r="P42" i="1"/>
  <c r="Q42" i="1" s="1"/>
  <c r="P20" i="1"/>
  <c r="Q20" i="1" s="1"/>
  <c r="P34" i="1"/>
  <c r="Q34" i="1" s="1"/>
  <c r="P46" i="1"/>
  <c r="Q46" i="1" s="1"/>
  <c r="P74" i="1"/>
  <c r="Q74" i="1" s="1"/>
  <c r="P88" i="1"/>
  <c r="Q88" i="1" s="1"/>
  <c r="P94" i="1"/>
  <c r="Q94" i="1" s="1"/>
  <c r="P40" i="1"/>
  <c r="Q40" i="1" s="1"/>
  <c r="P102" i="1"/>
  <c r="Q102" i="1" s="1"/>
  <c r="P82" i="1"/>
  <c r="Q82" i="1" s="1"/>
  <c r="P55" i="1"/>
  <c r="Q55" i="1" s="1"/>
  <c r="P64" i="1"/>
  <c r="Q64" i="1" s="1"/>
  <c r="P110" i="1"/>
  <c r="Q110" i="1" s="1"/>
  <c r="P47" i="1"/>
  <c r="Q47" i="1" s="1"/>
  <c r="P87" i="1"/>
  <c r="Q87" i="1" s="1"/>
  <c r="P89" i="1"/>
  <c r="Q89" i="1" s="1"/>
  <c r="P51" i="1"/>
  <c r="Q51" i="1" s="1"/>
  <c r="P68" i="1"/>
  <c r="Q68" i="1" s="1"/>
  <c r="P85" i="1"/>
  <c r="Q85" i="1" s="1"/>
  <c r="P11" i="1"/>
  <c r="Q11" i="1" s="1"/>
  <c r="P32" i="1"/>
  <c r="Q32" i="1" s="1"/>
  <c r="P100" i="1"/>
  <c r="Q100" i="1" s="1"/>
  <c r="P7" i="1"/>
  <c r="Q7" i="1" s="1"/>
  <c r="P98" i="1"/>
  <c r="Q98" i="1" s="1"/>
  <c r="P24" i="1"/>
  <c r="Q24" i="1" s="1"/>
  <c r="P105" i="1"/>
  <c r="Q105" i="1" s="1"/>
  <c r="P56" i="1"/>
  <c r="Q56" i="1" s="1"/>
  <c r="P91" i="1"/>
  <c r="Q91" i="1" s="1"/>
  <c r="P35" i="1"/>
  <c r="Q35" i="1" s="1"/>
  <c r="P81" i="1"/>
  <c r="Q81" i="1" s="1"/>
  <c r="P95" i="1"/>
  <c r="Q95" i="1" s="1"/>
  <c r="P72" i="1"/>
  <c r="Q72" i="1" s="1"/>
  <c r="P27" i="1"/>
  <c r="Q27" i="1" s="1"/>
  <c r="P5" i="1"/>
  <c r="Q5" i="1" s="1"/>
  <c r="P36" i="1"/>
  <c r="Q36" i="1" s="1"/>
  <c r="P86" i="1"/>
  <c r="Q86" i="1" s="1"/>
  <c r="P10" i="1"/>
  <c r="Q10" i="1" s="1"/>
  <c r="P58" i="1"/>
  <c r="Q58" i="1" s="1"/>
  <c r="P8" i="1"/>
  <c r="Q8" i="1" s="1"/>
  <c r="P108" i="1"/>
  <c r="Q108" i="1" s="1"/>
  <c r="P3" i="1"/>
  <c r="Q3" i="1" s="1"/>
  <c r="P104" i="1"/>
  <c r="Q104" i="1" s="1"/>
  <c r="P62" i="1"/>
  <c r="Q62" i="1" s="1"/>
  <c r="P90" i="1"/>
  <c r="Q90" i="1" s="1"/>
  <c r="P65" i="1"/>
  <c r="Q65" i="1" s="1"/>
  <c r="P59" i="1"/>
  <c r="Q59" i="1" s="1"/>
  <c r="P57" i="1"/>
  <c r="Q57" i="1" s="1"/>
  <c r="P18" i="1"/>
  <c r="Q18" i="1" s="1"/>
  <c r="P84" i="1"/>
  <c r="Q84" i="1" s="1"/>
  <c r="P50" i="1"/>
  <c r="Q50" i="1" s="1"/>
  <c r="P101" i="1"/>
  <c r="Q101" i="1" s="1"/>
  <c r="P66" i="1"/>
  <c r="Q66" i="1" s="1"/>
  <c r="P54" i="1"/>
  <c r="Q54" i="1" s="1"/>
  <c r="P112" i="1"/>
  <c r="Q112" i="1" s="1"/>
  <c r="P78" i="1"/>
  <c r="Q78" i="1" s="1"/>
  <c r="P28" i="1"/>
  <c r="Q28" i="1" s="1"/>
  <c r="P99" i="1"/>
  <c r="Q99" i="1" s="1"/>
  <c r="P21" i="1"/>
  <c r="Q21" i="1" s="1"/>
  <c r="P12" i="1"/>
  <c r="Q12" i="1" s="1"/>
  <c r="P107" i="1"/>
  <c r="Q107" i="1" s="1"/>
  <c r="P30" i="1"/>
  <c r="Q30" i="1" s="1"/>
  <c r="P25" i="1"/>
  <c r="Q25" i="1" s="1"/>
  <c r="P16" i="1"/>
  <c r="Q16" i="1" s="1"/>
  <c r="P70" i="1"/>
  <c r="Q70" i="1" s="1"/>
  <c r="P80" i="1"/>
  <c r="Q80" i="1" s="1"/>
  <c r="P17" i="1"/>
  <c r="Q17" i="1" s="1"/>
  <c r="P75" i="1"/>
  <c r="Q75" i="1" s="1"/>
  <c r="P67" i="1"/>
  <c r="Q67" i="1" s="1"/>
  <c r="P52" i="1"/>
  <c r="Q52" i="1" s="1"/>
  <c r="P76" i="1"/>
  <c r="Q76" i="1" s="1"/>
  <c r="P37" i="1"/>
  <c r="Q37" i="1" s="1"/>
  <c r="P48" i="1"/>
  <c r="Q48" i="1" s="1"/>
  <c r="P6" i="1"/>
  <c r="Q6" i="1" s="1"/>
  <c r="P60" i="1"/>
  <c r="Q60" i="1" s="1"/>
  <c r="P53" i="1"/>
  <c r="Q53" i="1" s="1"/>
  <c r="P14" i="1"/>
  <c r="Q14" i="1" s="1"/>
  <c r="P19" i="1"/>
  <c r="Q19" i="1" s="1"/>
  <c r="P49" i="1"/>
  <c r="Q49" i="1" s="1"/>
  <c r="P96" i="1"/>
  <c r="Q96" i="1" s="1"/>
  <c r="P4" i="1"/>
  <c r="Q4" i="1" s="1"/>
  <c r="P83" i="1"/>
  <c r="Q83" i="1" s="1"/>
  <c r="P38" i="1"/>
  <c r="Q38" i="1" s="1"/>
  <c r="P106" i="1"/>
  <c r="Q106" i="1" s="1"/>
  <c r="P44" i="1"/>
  <c r="Q44" i="1" s="1"/>
  <c r="P97" i="1"/>
  <c r="Q97" i="1" s="1"/>
  <c r="P63" i="1"/>
  <c r="Q63" i="1" s="1"/>
  <c r="P111" i="1"/>
  <c r="Q111" i="1" s="1"/>
  <c r="P31" i="1"/>
  <c r="Q31" i="1" s="1"/>
  <c r="P41" i="1"/>
  <c r="Q41" i="1" s="1"/>
  <c r="P15" i="1"/>
  <c r="Q15" i="1" s="1"/>
  <c r="P103" i="1"/>
  <c r="Q103" i="1" s="1"/>
  <c r="P13" i="1"/>
  <c r="Q13" i="1" s="1"/>
  <c r="P9" i="1"/>
  <c r="Q9" i="1" s="1"/>
  <c r="P71" i="1"/>
  <c r="Q71" i="1" s="1"/>
  <c r="P39" i="1"/>
  <c r="Q39" i="1" s="1"/>
  <c r="P29" i="1"/>
  <c r="Q29" i="1" s="1"/>
  <c r="P23" i="1"/>
  <c r="Q23" i="1" s="1"/>
  <c r="P109" i="1"/>
  <c r="Q109" i="1" s="1"/>
  <c r="P43" i="1"/>
  <c r="Q43" i="1" s="1"/>
  <c r="P73" i="1"/>
  <c r="Q73" i="1" s="1"/>
  <c r="P33" i="1"/>
  <c r="Q33" i="1" s="1"/>
  <c r="Y114" i="1"/>
  <c r="Y115" i="1"/>
  <c r="Y116" i="1"/>
  <c r="Y117" i="1"/>
  <c r="Y118" i="1"/>
  <c r="M15" i="1"/>
  <c r="N15" i="1" s="1"/>
  <c r="M44" i="1"/>
  <c r="N44" i="1" s="1"/>
  <c r="M30" i="1"/>
  <c r="N30" i="1" s="1"/>
  <c r="M17" i="1"/>
  <c r="N17" i="1" s="1"/>
  <c r="M45" i="1"/>
  <c r="N45" i="1" s="1"/>
  <c r="M63" i="1"/>
  <c r="N63" i="1" s="1"/>
  <c r="M38" i="1"/>
  <c r="N38" i="1" s="1"/>
  <c r="M20" i="1"/>
  <c r="N20" i="1" s="1"/>
  <c r="M70" i="1"/>
  <c r="N70" i="1" s="1"/>
  <c r="M34" i="1"/>
  <c r="N34" i="1" s="1"/>
  <c r="M110" i="1"/>
  <c r="N110" i="1" s="1"/>
  <c r="M29" i="1"/>
  <c r="N29" i="1" s="1"/>
  <c r="M111" i="1"/>
  <c r="N111" i="1" s="1"/>
  <c r="M23" i="1"/>
  <c r="N23" i="1" s="1"/>
  <c r="M105" i="1"/>
  <c r="N105" i="1" s="1"/>
  <c r="M77" i="1"/>
  <c r="N77" i="1" s="1"/>
  <c r="M37" i="1"/>
  <c r="N37" i="1" s="1"/>
  <c r="M94" i="1"/>
  <c r="N94" i="1" s="1"/>
  <c r="M3" i="1"/>
  <c r="N3" i="1" s="1"/>
  <c r="M88" i="1"/>
  <c r="N88" i="1" s="1"/>
  <c r="M95" i="1"/>
  <c r="N95" i="1" s="1"/>
  <c r="M75" i="1"/>
  <c r="N75" i="1" s="1"/>
  <c r="M57" i="1"/>
  <c r="N57" i="1" s="1"/>
  <c r="M22" i="1"/>
  <c r="N22" i="1" s="1"/>
  <c r="M18" i="1"/>
  <c r="N18" i="1" s="1"/>
  <c r="M6" i="1"/>
  <c r="N6" i="1" s="1"/>
  <c r="M14" i="1"/>
  <c r="N14" i="1" s="1"/>
  <c r="M81" i="1"/>
  <c r="N81" i="1" s="1"/>
  <c r="M98" i="1"/>
  <c r="N98" i="1" s="1"/>
  <c r="M69" i="1"/>
  <c r="N69" i="1" s="1"/>
  <c r="M92" i="1"/>
  <c r="N92" i="1" s="1"/>
  <c r="M106" i="1"/>
  <c r="N106" i="1" s="1"/>
  <c r="M11" i="1"/>
  <c r="N11" i="1" s="1"/>
  <c r="M54" i="1"/>
  <c r="N54" i="1" s="1"/>
  <c r="M85" i="1"/>
  <c r="N85" i="1" s="1"/>
  <c r="M62" i="1"/>
  <c r="N62" i="1" s="1"/>
  <c r="M73" i="1"/>
  <c r="N73" i="1" s="1"/>
  <c r="M2" i="1"/>
  <c r="N2" i="1" s="1"/>
  <c r="M19" i="1"/>
  <c r="N19" i="1" s="1"/>
  <c r="M53" i="1"/>
  <c r="N53" i="1" s="1"/>
  <c r="M84" i="1"/>
  <c r="N84" i="1" s="1"/>
  <c r="M24" i="1"/>
  <c r="N24" i="1" s="1"/>
  <c r="M61" i="1"/>
  <c r="N61" i="1" s="1"/>
  <c r="M99" i="1"/>
  <c r="N99" i="1" s="1"/>
  <c r="M65" i="1"/>
  <c r="N65" i="1" s="1"/>
  <c r="M100" i="1"/>
  <c r="N100" i="1" s="1"/>
  <c r="M52" i="1"/>
  <c r="N52" i="1" s="1"/>
  <c r="M51" i="1"/>
  <c r="N51" i="1" s="1"/>
  <c r="M40" i="1"/>
  <c r="N40" i="1" s="1"/>
  <c r="M36" i="1"/>
  <c r="N36" i="1" s="1"/>
  <c r="M31" i="1"/>
  <c r="N31" i="1" s="1"/>
  <c r="M101" i="1"/>
  <c r="N101" i="1" s="1"/>
  <c r="M26" i="1"/>
  <c r="N26" i="1" s="1"/>
  <c r="M58" i="1"/>
  <c r="N58" i="1" s="1"/>
  <c r="M39" i="1"/>
  <c r="N39" i="1" s="1"/>
  <c r="M104" i="1"/>
  <c r="N104" i="1" s="1"/>
  <c r="M16" i="1"/>
  <c r="N16" i="1" s="1"/>
  <c r="M76" i="1"/>
  <c r="N76" i="1" s="1"/>
  <c r="M68" i="1"/>
  <c r="N68" i="1" s="1"/>
  <c r="M49" i="1"/>
  <c r="N49" i="1" s="1"/>
  <c r="M86" i="1"/>
  <c r="N86" i="1" s="1"/>
  <c r="M50" i="1"/>
  <c r="N50" i="1" s="1"/>
  <c r="M91" i="1"/>
  <c r="N91" i="1" s="1"/>
  <c r="M64" i="1"/>
  <c r="N64" i="1" s="1"/>
  <c r="M108" i="1"/>
  <c r="N108" i="1" s="1"/>
  <c r="M46" i="1"/>
  <c r="N46" i="1" s="1"/>
  <c r="M60" i="1"/>
  <c r="N60" i="1" s="1"/>
  <c r="M83" i="1"/>
  <c r="N83" i="1" s="1"/>
  <c r="M102" i="1"/>
  <c r="N102" i="1" s="1"/>
  <c r="M27" i="1"/>
  <c r="N27" i="1" s="1"/>
  <c r="M48" i="1"/>
  <c r="N48" i="1" s="1"/>
  <c r="M5" i="1"/>
  <c r="N5" i="1" s="1"/>
  <c r="M7" i="1"/>
  <c r="N7" i="1" s="1"/>
  <c r="M4" i="1"/>
  <c r="N4" i="1" s="1"/>
  <c r="M43" i="1"/>
  <c r="N43" i="1" s="1"/>
  <c r="M96" i="1"/>
  <c r="N96" i="1" s="1"/>
  <c r="M72" i="1"/>
  <c r="N72" i="1" s="1"/>
  <c r="M9" i="1"/>
  <c r="N9" i="1" s="1"/>
  <c r="M35" i="1"/>
  <c r="N35" i="1" s="1"/>
  <c r="M87" i="1"/>
  <c r="N87" i="1" s="1"/>
  <c r="M109" i="1"/>
  <c r="N109" i="1" s="1"/>
  <c r="M80" i="1"/>
  <c r="N80" i="1" s="1"/>
  <c r="M103" i="1"/>
  <c r="N103" i="1" s="1"/>
  <c r="M47" i="1"/>
  <c r="N47" i="1" s="1"/>
  <c r="M12" i="1"/>
  <c r="N12" i="1" s="1"/>
  <c r="M25" i="1"/>
  <c r="N25" i="1" s="1"/>
  <c r="M97" i="1"/>
  <c r="N97" i="1" s="1"/>
  <c r="M93" i="1"/>
  <c r="N93" i="1" s="1"/>
  <c r="M10" i="1"/>
  <c r="N10" i="1" s="1"/>
  <c r="M13" i="1"/>
  <c r="N13" i="1" s="1"/>
  <c r="M89" i="1"/>
  <c r="N89" i="1" s="1"/>
  <c r="M21" i="1"/>
  <c r="N21" i="1" s="1"/>
  <c r="M107" i="1"/>
  <c r="N107" i="1" s="1"/>
  <c r="M8" i="1"/>
  <c r="N8" i="1" s="1"/>
  <c r="M79" i="1"/>
  <c r="N79" i="1" s="1"/>
  <c r="M74" i="1"/>
  <c r="N74" i="1" s="1"/>
  <c r="M112" i="1"/>
  <c r="N112" i="1" s="1"/>
  <c r="M32" i="1"/>
  <c r="N32" i="1" s="1"/>
  <c r="M82" i="1"/>
  <c r="N82" i="1" s="1"/>
  <c r="M56" i="1"/>
  <c r="N56" i="1" s="1"/>
  <c r="M66" i="1"/>
  <c r="N66" i="1" s="1"/>
  <c r="M41" i="1"/>
  <c r="N41" i="1" s="1"/>
  <c r="M33" i="1"/>
  <c r="N33" i="1" s="1"/>
  <c r="M59" i="1"/>
  <c r="N59" i="1" s="1"/>
  <c r="M28" i="1"/>
  <c r="N28" i="1" s="1"/>
  <c r="M55" i="1"/>
  <c r="N55" i="1" s="1"/>
  <c r="M78" i="1"/>
  <c r="N78" i="1" s="1"/>
  <c r="M71" i="1"/>
  <c r="N71" i="1" s="1"/>
  <c r="M67" i="1"/>
  <c r="N67" i="1" s="1"/>
  <c r="M42" i="1"/>
  <c r="N42" i="1" s="1"/>
  <c r="M90" i="1"/>
  <c r="N90" i="1" s="1"/>
  <c r="I102" i="1"/>
  <c r="J102" i="1" s="1"/>
  <c r="I92" i="1"/>
  <c r="J92" i="1" s="1"/>
  <c r="I71" i="1"/>
  <c r="J71" i="1" s="1"/>
  <c r="I29" i="1"/>
  <c r="J29" i="1" s="1"/>
  <c r="I27" i="1"/>
  <c r="J27" i="1" s="1"/>
  <c r="I106" i="1"/>
  <c r="J106" i="1" s="1"/>
  <c r="I111" i="1"/>
  <c r="J111" i="1" s="1"/>
  <c r="I25" i="1"/>
  <c r="J25" i="1" s="1"/>
  <c r="I36" i="1"/>
  <c r="J36" i="1" s="1"/>
  <c r="I67" i="1"/>
  <c r="J67" i="1" s="1"/>
  <c r="I48" i="1"/>
  <c r="J48" i="1" s="1"/>
  <c r="I11" i="1"/>
  <c r="J11" i="1" s="1"/>
  <c r="I23" i="1"/>
  <c r="J23" i="1" s="1"/>
  <c r="I54" i="1"/>
  <c r="J54" i="1" s="1"/>
  <c r="I5" i="1"/>
  <c r="J5" i="1" s="1"/>
  <c r="I105" i="1"/>
  <c r="J105" i="1" s="1"/>
  <c r="I33" i="1"/>
  <c r="J33" i="1" s="1"/>
  <c r="I77" i="1"/>
  <c r="J77" i="1" s="1"/>
  <c r="I31" i="1"/>
  <c r="J31" i="1" s="1"/>
  <c r="I37" i="1"/>
  <c r="J37" i="1" s="1"/>
  <c r="I101" i="1"/>
  <c r="J101" i="1" s="1"/>
  <c r="I85" i="1"/>
  <c r="J85" i="1" s="1"/>
  <c r="I62" i="1"/>
  <c r="J62" i="1" s="1"/>
  <c r="I94" i="1"/>
  <c r="J94" i="1" s="1"/>
  <c r="I26" i="1"/>
  <c r="J26" i="1" s="1"/>
  <c r="I58" i="1"/>
  <c r="J58" i="1" s="1"/>
  <c r="I39" i="1"/>
  <c r="J39" i="1" s="1"/>
  <c r="I51" i="1"/>
  <c r="J51" i="1" s="1"/>
  <c r="I3" i="1"/>
  <c r="J3" i="1" s="1"/>
  <c r="I73" i="1"/>
  <c r="J73" i="1" s="1"/>
  <c r="I2" i="1"/>
  <c r="J2" i="1" s="1"/>
  <c r="I63" i="1"/>
  <c r="J63" i="1" s="1"/>
  <c r="I104" i="1"/>
  <c r="J104" i="1" s="1"/>
  <c r="I97" i="1"/>
  <c r="J97" i="1" s="1"/>
  <c r="I16" i="1"/>
  <c r="J16" i="1" s="1"/>
  <c r="I7" i="1"/>
  <c r="J7" i="1" s="1"/>
  <c r="I4" i="1"/>
  <c r="J4" i="1" s="1"/>
  <c r="I15" i="1"/>
  <c r="J15" i="1" s="1"/>
  <c r="I19" i="1"/>
  <c r="J19" i="1" s="1"/>
  <c r="I76" i="1"/>
  <c r="J76" i="1" s="1"/>
  <c r="I53" i="1"/>
  <c r="J53" i="1" s="1"/>
  <c r="I88" i="1"/>
  <c r="J88" i="1" s="1"/>
  <c r="I43" i="1"/>
  <c r="J43" i="1" s="1"/>
  <c r="I95" i="1"/>
  <c r="J95" i="1" s="1"/>
  <c r="I75" i="1"/>
  <c r="J75" i="1" s="1"/>
  <c r="I42" i="1"/>
  <c r="J42" i="1" s="1"/>
  <c r="I57" i="1"/>
  <c r="J57" i="1" s="1"/>
  <c r="I96" i="1"/>
  <c r="J96" i="1" s="1"/>
  <c r="I59" i="1"/>
  <c r="J59" i="1" s="1"/>
  <c r="I84" i="1"/>
  <c r="J84" i="1" s="1"/>
  <c r="I68" i="1"/>
  <c r="J68" i="1" s="1"/>
  <c r="I93" i="1"/>
  <c r="J93" i="1" s="1"/>
  <c r="I24" i="1"/>
  <c r="J24" i="1" s="1"/>
  <c r="I49" i="1"/>
  <c r="J49" i="1" s="1"/>
  <c r="I86" i="1"/>
  <c r="J86" i="1" s="1"/>
  <c r="I61" i="1"/>
  <c r="J61" i="1" s="1"/>
  <c r="I72" i="1"/>
  <c r="J72" i="1" s="1"/>
  <c r="I99" i="1"/>
  <c r="J99" i="1" s="1"/>
  <c r="I10" i="1"/>
  <c r="J10" i="1" s="1"/>
  <c r="I9" i="1"/>
  <c r="J9" i="1" s="1"/>
  <c r="I83" i="1"/>
  <c r="J83" i="1" s="1"/>
  <c r="I13" i="1"/>
  <c r="J13" i="1" s="1"/>
  <c r="I40" i="1"/>
  <c r="J40" i="1" s="1"/>
  <c r="I55" i="1"/>
  <c r="J55" i="1" s="1"/>
  <c r="I35" i="1"/>
  <c r="J35" i="1" s="1"/>
  <c r="I65" i="1"/>
  <c r="J65" i="1" s="1"/>
  <c r="I22" i="1"/>
  <c r="J22" i="1" s="1"/>
  <c r="I34" i="1"/>
  <c r="J34" i="1" s="1"/>
  <c r="I89" i="1"/>
  <c r="J89" i="1" s="1"/>
  <c r="I21" i="1"/>
  <c r="J21" i="1" s="1"/>
  <c r="I44" i="1"/>
  <c r="J44" i="1" s="1"/>
  <c r="I50" i="1"/>
  <c r="J50" i="1" s="1"/>
  <c r="I87" i="1"/>
  <c r="J87" i="1" s="1"/>
  <c r="I91" i="1"/>
  <c r="J91" i="1" s="1"/>
  <c r="I100" i="1"/>
  <c r="J100" i="1" s="1"/>
  <c r="I109" i="1"/>
  <c r="J109" i="1" s="1"/>
  <c r="I18" i="1"/>
  <c r="J18" i="1" s="1"/>
  <c r="I52" i="1"/>
  <c r="J52" i="1" s="1"/>
  <c r="I80" i="1"/>
  <c r="J80" i="1" s="1"/>
  <c r="I6" i="1"/>
  <c r="J6" i="1" s="1"/>
  <c r="I14" i="1"/>
  <c r="J14" i="1" s="1"/>
  <c r="I64" i="1"/>
  <c r="J64" i="1" s="1"/>
  <c r="I69" i="1"/>
  <c r="J69" i="1" s="1"/>
  <c r="I103" i="1"/>
  <c r="J103" i="1" s="1"/>
  <c r="I108" i="1"/>
  <c r="J108" i="1" s="1"/>
  <c r="I107" i="1"/>
  <c r="J107" i="1" s="1"/>
  <c r="I70" i="1"/>
  <c r="J70" i="1" s="1"/>
  <c r="I60" i="1"/>
  <c r="J60" i="1" s="1"/>
  <c r="I81" i="1"/>
  <c r="J81" i="1" s="1"/>
  <c r="I8" i="1"/>
  <c r="J8" i="1" s="1"/>
  <c r="I38" i="1"/>
  <c r="J38" i="1" s="1"/>
  <c r="I30" i="1"/>
  <c r="J30" i="1" s="1"/>
  <c r="I78" i="1"/>
  <c r="J78" i="1" s="1"/>
  <c r="I47" i="1"/>
  <c r="J47" i="1" s="1"/>
  <c r="I90" i="1"/>
  <c r="J90" i="1" s="1"/>
  <c r="I17" i="1"/>
  <c r="J17" i="1" s="1"/>
  <c r="I20" i="1"/>
  <c r="J20" i="1" s="1"/>
  <c r="I46" i="1"/>
  <c r="J46" i="1" s="1"/>
  <c r="I28" i="1"/>
  <c r="J28" i="1" s="1"/>
  <c r="I79" i="1"/>
  <c r="J79" i="1" s="1"/>
  <c r="I74" i="1"/>
  <c r="J74" i="1" s="1"/>
  <c r="I112" i="1"/>
  <c r="J112" i="1" s="1"/>
  <c r="I12" i="1"/>
  <c r="J12" i="1" s="1"/>
  <c r="I98" i="1"/>
  <c r="J98" i="1" s="1"/>
  <c r="I32" i="1"/>
  <c r="J32" i="1" s="1"/>
  <c r="I82" i="1"/>
  <c r="J82" i="1" s="1"/>
  <c r="I56" i="1"/>
  <c r="J56" i="1" s="1"/>
  <c r="I66" i="1"/>
  <c r="J66" i="1" s="1"/>
  <c r="I41" i="1"/>
  <c r="J41" i="1" s="1"/>
  <c r="I45" i="1"/>
  <c r="J45" i="1" s="1"/>
  <c r="I110" i="1"/>
  <c r="J110" i="1" s="1"/>
  <c r="V79" i="1" l="1"/>
  <c r="W79" i="1" s="1"/>
  <c r="V61" i="1"/>
  <c r="W61" i="1" s="1"/>
  <c r="V74" i="1"/>
  <c r="W74" i="1" s="1"/>
  <c r="V49" i="1"/>
  <c r="W49" i="1" s="1"/>
  <c r="V100" i="1"/>
  <c r="W100" i="1" s="1"/>
  <c r="V19" i="1"/>
  <c r="W19" i="1" s="1"/>
  <c r="V65" i="1"/>
  <c r="W65" i="1" s="1"/>
  <c r="V110" i="1"/>
  <c r="W110" i="1" s="1"/>
  <c r="V73" i="1"/>
  <c r="W73" i="1" s="1"/>
  <c r="V13" i="1"/>
  <c r="W13" i="1" s="1"/>
  <c r="V44" i="1"/>
  <c r="W44" i="1" s="1"/>
  <c r="V14" i="1"/>
  <c r="W14" i="1" s="1"/>
  <c r="V67" i="1"/>
  <c r="W67" i="1" s="1"/>
  <c r="V107" i="1"/>
  <c r="W107" i="1" s="1"/>
  <c r="V66" i="1"/>
  <c r="W66" i="1" s="1"/>
  <c r="V90" i="1"/>
  <c r="W90" i="1" s="1"/>
  <c r="V86" i="1"/>
  <c r="W86" i="1" s="1"/>
  <c r="V91" i="1"/>
  <c r="W91" i="1" s="1"/>
  <c r="V11" i="1"/>
  <c r="W11" i="1" s="1"/>
  <c r="V64" i="1"/>
  <c r="W64" i="1" s="1"/>
  <c r="V46" i="1"/>
  <c r="W46" i="1" s="1"/>
  <c r="V93" i="1"/>
  <c r="W93" i="1" s="1"/>
  <c r="V81" i="1"/>
  <c r="W81" i="1" s="1"/>
  <c r="V52" i="1"/>
  <c r="W52" i="1" s="1"/>
  <c r="V10" i="1"/>
  <c r="W10" i="1" s="1"/>
  <c r="V2" i="1"/>
  <c r="W2" i="1" s="1"/>
  <c r="V43" i="1"/>
  <c r="W43" i="1" s="1"/>
  <c r="V103" i="1"/>
  <c r="W103" i="1" s="1"/>
  <c r="V106" i="1"/>
  <c r="W106" i="1" s="1"/>
  <c r="V53" i="1"/>
  <c r="W53" i="1" s="1"/>
  <c r="V75" i="1"/>
  <c r="W75" i="1" s="1"/>
  <c r="V12" i="1"/>
  <c r="W12" i="1" s="1"/>
  <c r="V101" i="1"/>
  <c r="W101" i="1" s="1"/>
  <c r="V62" i="1"/>
  <c r="W62" i="1" s="1"/>
  <c r="V36" i="1"/>
  <c r="W36" i="1" s="1"/>
  <c r="V56" i="1"/>
  <c r="W56" i="1" s="1"/>
  <c r="V85" i="1"/>
  <c r="W85" i="1" s="1"/>
  <c r="V55" i="1"/>
  <c r="W55" i="1" s="1"/>
  <c r="V34" i="1"/>
  <c r="W34" i="1" s="1"/>
  <c r="V26" i="1"/>
  <c r="W26" i="1" s="1"/>
  <c r="V63" i="1"/>
  <c r="W63" i="1" s="1"/>
  <c r="V25" i="1"/>
  <c r="W25" i="1" s="1"/>
  <c r="V59" i="1"/>
  <c r="W59" i="1" s="1"/>
  <c r="V47" i="1"/>
  <c r="W47" i="1" s="1"/>
  <c r="V9" i="1"/>
  <c r="W9" i="1" s="1"/>
  <c r="V97" i="1"/>
  <c r="W97" i="1" s="1"/>
  <c r="V30" i="1"/>
  <c r="W30" i="1" s="1"/>
  <c r="V54" i="1"/>
  <c r="W54" i="1" s="1"/>
  <c r="V35" i="1"/>
  <c r="W35" i="1" s="1"/>
  <c r="V32" i="1"/>
  <c r="W32" i="1" s="1"/>
  <c r="V109" i="1"/>
  <c r="W109" i="1" s="1"/>
  <c r="V15" i="1"/>
  <c r="W15" i="1" s="1"/>
  <c r="V38" i="1"/>
  <c r="W38" i="1" s="1"/>
  <c r="V60" i="1"/>
  <c r="W60" i="1" s="1"/>
  <c r="V17" i="1"/>
  <c r="W17" i="1" s="1"/>
  <c r="V21" i="1"/>
  <c r="W21" i="1" s="1"/>
  <c r="V50" i="1"/>
  <c r="W50" i="1" s="1"/>
  <c r="V104" i="1"/>
  <c r="W104" i="1" s="1"/>
  <c r="V5" i="1"/>
  <c r="W5" i="1" s="1"/>
  <c r="V105" i="1"/>
  <c r="W105" i="1" s="1"/>
  <c r="V68" i="1"/>
  <c r="W68" i="1" s="1"/>
  <c r="V82" i="1"/>
  <c r="W82" i="1" s="1"/>
  <c r="V20" i="1"/>
  <c r="W20" i="1" s="1"/>
  <c r="V92" i="1"/>
  <c r="W92" i="1" s="1"/>
  <c r="V88" i="1"/>
  <c r="W88" i="1" s="1"/>
  <c r="V23" i="1"/>
  <c r="W23" i="1" s="1"/>
  <c r="V41" i="1"/>
  <c r="W41" i="1" s="1"/>
  <c r="V83" i="1"/>
  <c r="W83" i="1" s="1"/>
  <c r="V6" i="1"/>
  <c r="W6" i="1" s="1"/>
  <c r="V80" i="1"/>
  <c r="W80" i="1" s="1"/>
  <c r="V99" i="1"/>
  <c r="W99" i="1" s="1"/>
  <c r="V84" i="1"/>
  <c r="W84" i="1" s="1"/>
  <c r="V3" i="1"/>
  <c r="W3" i="1" s="1"/>
  <c r="V27" i="1"/>
  <c r="W27" i="1" s="1"/>
  <c r="V24" i="1"/>
  <c r="W24" i="1" s="1"/>
  <c r="V51" i="1"/>
  <c r="W51" i="1" s="1"/>
  <c r="V102" i="1"/>
  <c r="W102" i="1" s="1"/>
  <c r="V42" i="1"/>
  <c r="W42" i="1" s="1"/>
  <c r="V77" i="1"/>
  <c r="W77" i="1" s="1"/>
  <c r="V71" i="1"/>
  <c r="W71" i="1" s="1"/>
  <c r="V76" i="1"/>
  <c r="W76" i="1" s="1"/>
  <c r="V112" i="1"/>
  <c r="W112" i="1" s="1"/>
  <c r="V58" i="1"/>
  <c r="W58" i="1" s="1"/>
  <c r="V29" i="1"/>
  <c r="W29" i="1" s="1"/>
  <c r="V31" i="1"/>
  <c r="W31" i="1" s="1"/>
  <c r="V4" i="1"/>
  <c r="W4" i="1" s="1"/>
  <c r="V48" i="1"/>
  <c r="W48" i="1" s="1"/>
  <c r="V70" i="1"/>
  <c r="W70" i="1" s="1"/>
  <c r="V28" i="1"/>
  <c r="W28" i="1" s="1"/>
  <c r="V18" i="1"/>
  <c r="W18" i="1" s="1"/>
  <c r="V108" i="1"/>
  <c r="W108" i="1" s="1"/>
  <c r="V72" i="1"/>
  <c r="W72" i="1" s="1"/>
  <c r="V98" i="1"/>
  <c r="W98" i="1" s="1"/>
  <c r="V89" i="1"/>
  <c r="W89" i="1" s="1"/>
  <c r="V40" i="1"/>
  <c r="W40" i="1" s="1"/>
  <c r="V69" i="1"/>
  <c r="W69" i="1" s="1"/>
  <c r="V45" i="1"/>
  <c r="W45" i="1" s="1"/>
  <c r="V39" i="1"/>
  <c r="W39" i="1" s="1"/>
  <c r="V111" i="1"/>
  <c r="W111" i="1" s="1"/>
  <c r="V96" i="1"/>
  <c r="W96" i="1" s="1"/>
  <c r="V37" i="1"/>
  <c r="W37" i="1" s="1"/>
  <c r="V16" i="1"/>
  <c r="W16" i="1" s="1"/>
  <c r="V78" i="1"/>
  <c r="W78" i="1" s="1"/>
  <c r="V57" i="1"/>
  <c r="W57" i="1" s="1"/>
  <c r="V8" i="1"/>
  <c r="W8" i="1" s="1"/>
  <c r="V95" i="1"/>
  <c r="W95" i="1" s="1"/>
  <c r="V7" i="1"/>
  <c r="W7" i="1" s="1"/>
  <c r="V87" i="1"/>
  <c r="W87" i="1" s="1"/>
  <c r="V94" i="1"/>
  <c r="W94" i="1" s="1"/>
  <c r="V22" i="1"/>
  <c r="W22" i="1" s="1"/>
  <c r="V33" i="1"/>
  <c r="W33" i="1" s="1"/>
  <c r="C90" i="1"/>
  <c r="D90" i="1" s="1"/>
  <c r="C106" i="1"/>
  <c r="D106" i="1" s="1"/>
  <c r="C111" i="1"/>
  <c r="D111" i="1" s="1"/>
  <c r="C37" i="1"/>
  <c r="D37" i="1" s="1"/>
  <c r="C71" i="1"/>
  <c r="D71" i="1" s="1"/>
  <c r="C16" i="1"/>
  <c r="D16" i="1" s="1"/>
  <c r="C42" i="1"/>
  <c r="D42" i="1" s="1"/>
  <c r="C17" i="1"/>
  <c r="D17" i="1" s="1"/>
  <c r="C34" i="1"/>
  <c r="D34" i="1" s="1"/>
  <c r="C101" i="1"/>
  <c r="D101" i="1" s="1"/>
  <c r="C70" i="1"/>
  <c r="D70" i="1" s="1"/>
  <c r="C18" i="1"/>
  <c r="D18" i="1" s="1"/>
  <c r="C57" i="1"/>
  <c r="D57" i="1" s="1"/>
  <c r="C83" i="1"/>
  <c r="D83" i="1" s="1"/>
  <c r="C52" i="1"/>
  <c r="D52" i="1" s="1"/>
  <c r="C12" i="1"/>
  <c r="D12" i="1" s="1"/>
  <c r="C96" i="1"/>
  <c r="D96" i="1" s="1"/>
  <c r="C60" i="1"/>
  <c r="D60" i="1" s="1"/>
  <c r="C10" i="1"/>
  <c r="D10" i="1" s="1"/>
  <c r="C9" i="1"/>
  <c r="D9" i="1" s="1"/>
  <c r="C97" i="1"/>
  <c r="D97" i="1" s="1"/>
  <c r="C7" i="1"/>
  <c r="D7" i="1" s="1"/>
  <c r="C54" i="1"/>
  <c r="D54" i="1" s="1"/>
  <c r="C4" i="1"/>
  <c r="D4" i="1" s="1"/>
  <c r="C89" i="1"/>
  <c r="D89" i="1" s="1"/>
  <c r="C59" i="1"/>
  <c r="D59" i="1" s="1"/>
  <c r="C39" i="1"/>
  <c r="D39" i="1" s="1"/>
  <c r="C109" i="1"/>
  <c r="D109" i="1" s="1"/>
  <c r="C84" i="1"/>
  <c r="D84" i="1" s="1"/>
  <c r="C80" i="1"/>
  <c r="D80" i="1" s="1"/>
  <c r="C51" i="1"/>
  <c r="D51" i="1" s="1"/>
  <c r="C20" i="1"/>
  <c r="D20" i="1" s="1"/>
  <c r="C23" i="1"/>
  <c r="D23" i="1" s="1"/>
  <c r="C6" i="1"/>
  <c r="D6" i="1" s="1"/>
  <c r="C21" i="1"/>
  <c r="D21" i="1" s="1"/>
  <c r="C75" i="1"/>
  <c r="D75" i="1" s="1"/>
  <c r="C25" i="1"/>
  <c r="D25" i="1" s="1"/>
  <c r="C31" i="1"/>
  <c r="D31" i="1" s="1"/>
  <c r="C36" i="1"/>
  <c r="D36" i="1" s="1"/>
  <c r="C13" i="1"/>
  <c r="D13" i="1" s="1"/>
  <c r="C44" i="1"/>
  <c r="D44" i="1" s="1"/>
  <c r="C81" i="1"/>
  <c r="D81" i="1" s="1"/>
  <c r="C45" i="1"/>
  <c r="D45" i="1" s="1"/>
  <c r="C15" i="1"/>
  <c r="D15" i="1" s="1"/>
  <c r="C41" i="1"/>
  <c r="D41" i="1" s="1"/>
  <c r="C8" i="1"/>
  <c r="D8" i="1" s="1"/>
  <c r="C67" i="1"/>
  <c r="D67" i="1" s="1"/>
  <c r="C40" i="1"/>
  <c r="D40" i="1" s="1"/>
  <c r="C19" i="1"/>
  <c r="D19" i="1" s="1"/>
  <c r="C38" i="1"/>
  <c r="D38" i="1" s="1"/>
  <c r="C76" i="1"/>
  <c r="D76" i="1" s="1"/>
  <c r="C98" i="1"/>
  <c r="D98" i="1" s="1"/>
  <c r="C14" i="1"/>
  <c r="D14" i="1" s="1"/>
  <c r="C64" i="1"/>
  <c r="D64" i="1" s="1"/>
  <c r="C68" i="1"/>
  <c r="D68" i="1" s="1"/>
  <c r="C69" i="1"/>
  <c r="D69" i="1" s="1"/>
  <c r="C29" i="1"/>
  <c r="D29" i="1" s="1"/>
  <c r="C3" i="1"/>
  <c r="D3" i="1" s="1"/>
  <c r="C48" i="1"/>
  <c r="D48" i="1" s="1"/>
  <c r="C30" i="1"/>
  <c r="D30" i="1" s="1"/>
  <c r="C55" i="1"/>
  <c r="D55" i="1" s="1"/>
  <c r="C33" i="1"/>
  <c r="D33" i="1" s="1"/>
  <c r="C93" i="1"/>
  <c r="D93" i="1" s="1"/>
  <c r="C46" i="1"/>
  <c r="D46" i="1" s="1"/>
  <c r="C24" i="1"/>
  <c r="D24" i="1" s="1"/>
  <c r="C92" i="1"/>
  <c r="D92" i="1" s="1"/>
  <c r="C35" i="1"/>
  <c r="D35" i="1" s="1"/>
  <c r="C85" i="1"/>
  <c r="D85" i="1" s="1"/>
  <c r="C32" i="1"/>
  <c r="D32" i="1" s="1"/>
  <c r="C5" i="1"/>
  <c r="D5" i="1" s="1"/>
  <c r="C49" i="1"/>
  <c r="D49" i="1" s="1"/>
  <c r="C27" i="1"/>
  <c r="D27" i="1" s="1"/>
  <c r="C28" i="1"/>
  <c r="D28" i="1" s="1"/>
  <c r="C86" i="1"/>
  <c r="D86" i="1" s="1"/>
  <c r="C78" i="1"/>
  <c r="D78" i="1" s="1"/>
  <c r="C11" i="1"/>
  <c r="D11" i="1" s="1"/>
  <c r="C103" i="1"/>
  <c r="D103" i="1" s="1"/>
  <c r="C50" i="1"/>
  <c r="D50" i="1" s="1"/>
  <c r="C53" i="1"/>
  <c r="D53" i="1" s="1"/>
  <c r="C62" i="1"/>
  <c r="D62" i="1" s="1"/>
  <c r="C79" i="1"/>
  <c r="D79" i="1" s="1"/>
  <c r="C88" i="1"/>
  <c r="D88" i="1" s="1"/>
  <c r="C87" i="1"/>
  <c r="D87" i="1" s="1"/>
  <c r="C82" i="1"/>
  <c r="D82" i="1" s="1"/>
  <c r="C94" i="1"/>
  <c r="D94" i="1" s="1"/>
  <c r="C108" i="1"/>
  <c r="D108" i="1" s="1"/>
  <c r="C61" i="1"/>
  <c r="D61" i="1" s="1"/>
  <c r="C73" i="1"/>
  <c r="D73" i="1" s="1"/>
  <c r="C47" i="1"/>
  <c r="D47" i="1" s="1"/>
  <c r="C91" i="1"/>
  <c r="D91" i="1" s="1"/>
  <c r="C2" i="1"/>
  <c r="C74" i="1"/>
  <c r="D74" i="1" s="1"/>
  <c r="C56" i="1"/>
  <c r="D56" i="1" s="1"/>
  <c r="C102" i="1"/>
  <c r="D102" i="1" s="1"/>
  <c r="C26" i="1"/>
  <c r="D26" i="1" s="1"/>
  <c r="C43" i="1"/>
  <c r="D43" i="1" s="1"/>
  <c r="C72" i="1"/>
  <c r="D72" i="1" s="1"/>
  <c r="C66" i="1"/>
  <c r="D66" i="1" s="1"/>
  <c r="C99" i="1"/>
  <c r="D99" i="1" s="1"/>
  <c r="C65" i="1"/>
  <c r="D65" i="1" s="1"/>
  <c r="C77" i="1"/>
  <c r="D77" i="1" s="1"/>
  <c r="C63" i="1"/>
  <c r="D63" i="1" s="1"/>
  <c r="C95" i="1"/>
  <c r="D95" i="1" s="1"/>
  <c r="C22" i="1"/>
  <c r="D22" i="1" s="1"/>
  <c r="C110" i="1"/>
  <c r="D110" i="1" s="1"/>
  <c r="C104" i="1"/>
  <c r="D104" i="1" s="1"/>
  <c r="C100" i="1"/>
  <c r="D100" i="1" s="1"/>
  <c r="C105" i="1"/>
  <c r="D105" i="1" s="1"/>
  <c r="C112" i="1"/>
  <c r="D112" i="1" s="1"/>
  <c r="C107" i="1"/>
  <c r="D107" i="1" s="1"/>
  <c r="C58" i="1"/>
  <c r="D58" i="1" s="1"/>
  <c r="AF118" i="1"/>
  <c r="AF116" i="1"/>
  <c r="AF117" i="1"/>
  <c r="AF115" i="1"/>
  <c r="AF114" i="1"/>
  <c r="AE118" i="1"/>
  <c r="AE117" i="1"/>
  <c r="AE116" i="1"/>
  <c r="AE115" i="1"/>
  <c r="AE114" i="1"/>
  <c r="U118" i="1"/>
  <c r="U117" i="1"/>
  <c r="U116" i="1"/>
  <c r="U115" i="1"/>
  <c r="U114" i="1"/>
  <c r="R118" i="1"/>
  <c r="R117" i="1"/>
  <c r="R116" i="1"/>
  <c r="R115" i="1"/>
  <c r="R114" i="1"/>
  <c r="O118" i="1"/>
  <c r="O117" i="1"/>
  <c r="O116" i="1"/>
  <c r="O115" i="1"/>
  <c r="O114" i="1"/>
  <c r="K118" i="1"/>
  <c r="K117" i="1"/>
  <c r="K116" i="1"/>
  <c r="K115" i="1"/>
  <c r="K114" i="1"/>
  <c r="E118" i="1" l="1"/>
  <c r="E117" i="1"/>
  <c r="E114" i="1"/>
  <c r="E115" i="1"/>
  <c r="E116" i="1"/>
</calcChain>
</file>

<file path=xl/sharedStrings.xml><?xml version="1.0" encoding="utf-8"?>
<sst xmlns="http://schemas.openxmlformats.org/spreadsheetml/2006/main" count="724" uniqueCount="53">
  <si>
    <t>ID</t>
  </si>
  <si>
    <t>Gender</t>
  </si>
  <si>
    <t>Age</t>
  </si>
  <si>
    <t>Class</t>
  </si>
  <si>
    <t>Major</t>
  </si>
  <si>
    <t>Grad Intention</t>
  </si>
  <si>
    <t>GPA</t>
  </si>
  <si>
    <t>Employment</t>
  </si>
  <si>
    <t>Salary</t>
  </si>
  <si>
    <t>Social Networking</t>
  </si>
  <si>
    <t>Satisfaction</t>
  </si>
  <si>
    <t>Text Messages</t>
  </si>
  <si>
    <t>Female</t>
  </si>
  <si>
    <t>Sophomore</t>
  </si>
  <si>
    <t>Other</t>
  </si>
  <si>
    <t>Yes</t>
  </si>
  <si>
    <t>Full-Time</t>
  </si>
  <si>
    <t>Laptop</t>
  </si>
  <si>
    <t>Male</t>
  </si>
  <si>
    <t>Senior</t>
  </si>
  <si>
    <t>Management</t>
  </si>
  <si>
    <t>Part-Time</t>
  </si>
  <si>
    <t>Desktop</t>
  </si>
  <si>
    <t>Freshman</t>
  </si>
  <si>
    <t>IS</t>
  </si>
  <si>
    <t>Tablet</t>
  </si>
  <si>
    <t>Undecided</t>
  </si>
  <si>
    <t>Unemployed</t>
  </si>
  <si>
    <t>Economics/Finance</t>
  </si>
  <si>
    <t>Junior</t>
  </si>
  <si>
    <t>No</t>
  </si>
  <si>
    <t>Marketing</t>
  </si>
  <si>
    <t>Accounting</t>
  </si>
  <si>
    <t>marketing</t>
  </si>
  <si>
    <t>mean</t>
  </si>
  <si>
    <t>median</t>
  </si>
  <si>
    <t>s.d</t>
  </si>
  <si>
    <t>skewness</t>
  </si>
  <si>
    <t>kurtosis</t>
  </si>
  <si>
    <t>Bin</t>
  </si>
  <si>
    <t>More</t>
  </si>
  <si>
    <t>Frequency</t>
  </si>
  <si>
    <t xml:space="preserve">percentile position </t>
  </si>
  <si>
    <t>Z-SCORE</t>
  </si>
  <si>
    <t>p- values</t>
  </si>
  <si>
    <t>Z-SCORES</t>
  </si>
  <si>
    <t>P VALUES</t>
  </si>
  <si>
    <t>Z SCORE</t>
  </si>
  <si>
    <t>Z SCORES</t>
  </si>
  <si>
    <t>p values</t>
  </si>
  <si>
    <t>SPENDING</t>
  </si>
  <si>
    <t>COMPUTER</t>
  </si>
  <si>
    <t>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</si>
</sst>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/>
    <xf numFmtId="2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0" applyNumberFormat="1" applyFont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2" fillId="0" borderId="0" xfId="0" applyFont="1" applyBorder="1"/>
    <xf numFmtId="2" fontId="2" fillId="0" borderId="0" xfId="0" applyNumberFormat="1" applyFont="1" applyBorder="1"/>
    <xf numFmtId="164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Sheet1!$A$2:$A$12</c:f>
              <c:strCache>
                <c:ptCount val="11"/>
                <c:pt idx="0">
                  <c:v>18</c:v>
                </c:pt>
                <c:pt idx="1">
                  <c:v>19.2</c:v>
                </c:pt>
                <c:pt idx="2">
                  <c:v>20.4</c:v>
                </c:pt>
                <c:pt idx="3">
                  <c:v>21.6</c:v>
                </c:pt>
                <c:pt idx="4">
                  <c:v>22.8</c:v>
                </c:pt>
                <c:pt idx="5">
                  <c:v>24</c:v>
                </c:pt>
                <c:pt idx="6">
                  <c:v>25.2</c:v>
                </c:pt>
                <c:pt idx="7">
                  <c:v>26.4</c:v>
                </c:pt>
                <c:pt idx="8">
                  <c:v>27.6</c:v>
                </c:pt>
                <c:pt idx="9">
                  <c:v>28.8</c:v>
                </c:pt>
                <c:pt idx="10">
                  <c:v>More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</c:v>
                </c:pt>
                <c:pt idx="1">
                  <c:v>10</c:v>
                </c:pt>
                <c:pt idx="2">
                  <c:v>17</c:v>
                </c:pt>
                <c:pt idx="3">
                  <c:v>24</c:v>
                </c:pt>
                <c:pt idx="4">
                  <c:v>16</c:v>
                </c:pt>
                <c:pt idx="5">
                  <c:v>26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55152"/>
        <c:axId val="1620169840"/>
      </c:barChart>
      <c:catAx>
        <c:axId val="162015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9840"/>
        <c:crosses val="autoZero"/>
        <c:auto val="1"/>
        <c:lblAlgn val="ctr"/>
        <c:lblOffset val="100"/>
        <c:noMultiLvlLbl val="0"/>
      </c:catAx>
      <c:valAx>
        <c:axId val="1620169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55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Sheet2!$A$2:$A$12</c:f>
              <c:strCache>
                <c:ptCount val="11"/>
                <c:pt idx="0">
                  <c:v>2</c:v>
                </c:pt>
                <c:pt idx="1">
                  <c:v>2.19</c:v>
                </c:pt>
                <c:pt idx="2">
                  <c:v>2.38</c:v>
                </c:pt>
                <c:pt idx="3">
                  <c:v>2.57</c:v>
                </c:pt>
                <c:pt idx="4">
                  <c:v>2.76</c:v>
                </c:pt>
                <c:pt idx="5">
                  <c:v>2.95</c:v>
                </c:pt>
                <c:pt idx="6">
                  <c:v>3.14</c:v>
                </c:pt>
                <c:pt idx="7">
                  <c:v>3.33</c:v>
                </c:pt>
                <c:pt idx="8">
                  <c:v>3.52</c:v>
                </c:pt>
                <c:pt idx="9">
                  <c:v>3.71</c:v>
                </c:pt>
                <c:pt idx="10">
                  <c:v>More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10</c:v>
                </c:pt>
                <c:pt idx="4">
                  <c:v>6</c:v>
                </c:pt>
                <c:pt idx="5">
                  <c:v>15</c:v>
                </c:pt>
                <c:pt idx="6">
                  <c:v>24</c:v>
                </c:pt>
                <c:pt idx="7">
                  <c:v>18</c:v>
                </c:pt>
                <c:pt idx="8">
                  <c:v>18</c:v>
                </c:pt>
                <c:pt idx="9">
                  <c:v>12</c:v>
                </c:pt>
                <c:pt idx="10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54608"/>
        <c:axId val="1620156240"/>
      </c:barChart>
      <c:catAx>
        <c:axId val="162015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56240"/>
        <c:crosses val="autoZero"/>
        <c:auto val="1"/>
        <c:lblAlgn val="ctr"/>
        <c:lblOffset val="100"/>
        <c:noMultiLvlLbl val="0"/>
      </c:catAx>
      <c:valAx>
        <c:axId val="1620156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54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Sheet3!$A$2:$A$12</c:f>
              <c:strCache>
                <c:ptCount val="11"/>
                <c:pt idx="0">
                  <c:v>30</c:v>
                </c:pt>
                <c:pt idx="1">
                  <c:v>35.5</c:v>
                </c:pt>
                <c:pt idx="2">
                  <c:v>41</c:v>
                </c:pt>
                <c:pt idx="3">
                  <c:v>46.5</c:v>
                </c:pt>
                <c:pt idx="4">
                  <c:v>52</c:v>
                </c:pt>
                <c:pt idx="5">
                  <c:v>57.5</c:v>
                </c:pt>
                <c:pt idx="6">
                  <c:v>63</c:v>
                </c:pt>
                <c:pt idx="7">
                  <c:v>68.5</c:v>
                </c:pt>
                <c:pt idx="8">
                  <c:v>74</c:v>
                </c:pt>
                <c:pt idx="9">
                  <c:v>79.5</c:v>
                </c:pt>
                <c:pt idx="10">
                  <c:v>More</c:v>
                </c:pt>
              </c:strCache>
            </c:strRef>
          </c:cat>
          <c:val>
            <c:numRef>
              <c:f>Sheet3!$B$2:$B$12</c:f>
              <c:numCache>
                <c:formatCode>General</c:formatCode>
                <c:ptCount val="1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21</c:v>
                </c:pt>
                <c:pt idx="4">
                  <c:v>19</c:v>
                </c:pt>
                <c:pt idx="5">
                  <c:v>19</c:v>
                </c:pt>
                <c:pt idx="6">
                  <c:v>18</c:v>
                </c:pt>
                <c:pt idx="7">
                  <c:v>17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57328"/>
        <c:axId val="1620167120"/>
      </c:barChart>
      <c:catAx>
        <c:axId val="162015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7120"/>
        <c:crosses val="autoZero"/>
        <c:auto val="1"/>
        <c:lblAlgn val="ctr"/>
        <c:lblOffset val="100"/>
        <c:noMultiLvlLbl val="0"/>
      </c:catAx>
      <c:valAx>
        <c:axId val="1620167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57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Sheet4!$A$2:$A$12</c:f>
              <c:strCache>
                <c:ptCount val="11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  <c:pt idx="9">
                  <c:v>13.5</c:v>
                </c:pt>
                <c:pt idx="10">
                  <c:v>More</c:v>
                </c:pt>
              </c:strCache>
            </c:strRef>
          </c:cat>
          <c:val>
            <c:numRef>
              <c:f>Sheet4!$B$2:$B$12</c:f>
              <c:numCache>
                <c:formatCode>General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22</c:v>
                </c:pt>
                <c:pt idx="3">
                  <c:v>24</c:v>
                </c:pt>
                <c:pt idx="4">
                  <c:v>28</c:v>
                </c:pt>
                <c:pt idx="5">
                  <c:v>10</c:v>
                </c:pt>
                <c:pt idx="6">
                  <c:v>11</c:v>
                </c:pt>
                <c:pt idx="7">
                  <c:v>1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62224"/>
        <c:axId val="1620166576"/>
      </c:barChart>
      <c:catAx>
        <c:axId val="162016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6576"/>
        <c:crosses val="autoZero"/>
        <c:auto val="1"/>
        <c:lblAlgn val="ctr"/>
        <c:lblOffset val="100"/>
        <c:noMultiLvlLbl val="0"/>
      </c:catAx>
      <c:valAx>
        <c:axId val="1620166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2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Sheet5!$A$2:$A$12</c:f>
              <c:strCache>
                <c:ptCount val="11"/>
                <c:pt idx="0">
                  <c:v>1</c:v>
                </c:pt>
                <c:pt idx="1">
                  <c:v>1.6</c:v>
                </c:pt>
                <c:pt idx="2">
                  <c:v>2.2</c:v>
                </c:pt>
                <c:pt idx="3">
                  <c:v>2.8</c:v>
                </c:pt>
                <c:pt idx="4">
                  <c:v>3.4</c:v>
                </c:pt>
                <c:pt idx="5">
                  <c:v>4</c:v>
                </c:pt>
                <c:pt idx="6">
                  <c:v>4.6</c:v>
                </c:pt>
                <c:pt idx="7">
                  <c:v>5.2</c:v>
                </c:pt>
                <c:pt idx="8">
                  <c:v>5.8</c:v>
                </c:pt>
                <c:pt idx="9">
                  <c:v>6.4</c:v>
                </c:pt>
                <c:pt idx="10">
                  <c:v>More</c:v>
                </c:pt>
              </c:strCache>
            </c:strRef>
          </c:cat>
          <c:val>
            <c:numRef>
              <c:f>Sheet5!$B$2:$B$12</c:f>
              <c:numCache>
                <c:formatCode>General</c:formatCode>
                <c:ptCount val="11"/>
                <c:pt idx="0">
                  <c:v>5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19</c:v>
                </c:pt>
                <c:pt idx="5">
                  <c:v>45</c:v>
                </c:pt>
                <c:pt idx="6">
                  <c:v>0</c:v>
                </c:pt>
                <c:pt idx="7">
                  <c:v>28</c:v>
                </c:pt>
                <c:pt idx="8">
                  <c:v>0</c:v>
                </c:pt>
                <c:pt idx="9">
                  <c:v>10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59504"/>
        <c:axId val="1620160048"/>
      </c:barChart>
      <c:catAx>
        <c:axId val="162015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0048"/>
        <c:crosses val="autoZero"/>
        <c:auto val="1"/>
        <c:lblAlgn val="ctr"/>
        <c:lblOffset val="100"/>
        <c:noMultiLvlLbl val="0"/>
      </c:catAx>
      <c:valAx>
        <c:axId val="1620160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59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Sheet6!$A$2:$A$12</c:f>
              <c:strCache>
                <c:ptCount val="11"/>
                <c:pt idx="0">
                  <c:v>570</c:v>
                </c:pt>
                <c:pt idx="1">
                  <c:v>713</c:v>
                </c:pt>
                <c:pt idx="2">
                  <c:v>856</c:v>
                </c:pt>
                <c:pt idx="3">
                  <c:v>999</c:v>
                </c:pt>
                <c:pt idx="4">
                  <c:v>1142</c:v>
                </c:pt>
                <c:pt idx="5">
                  <c:v>1285</c:v>
                </c:pt>
                <c:pt idx="6">
                  <c:v>1428</c:v>
                </c:pt>
                <c:pt idx="7">
                  <c:v>1571</c:v>
                </c:pt>
                <c:pt idx="8">
                  <c:v>1714</c:v>
                </c:pt>
                <c:pt idx="9">
                  <c:v>1857</c:v>
                </c:pt>
                <c:pt idx="10">
                  <c:v>More</c:v>
                </c:pt>
              </c:strCache>
            </c:strRef>
          </c:cat>
          <c:val>
            <c:numRef>
              <c:f>Sheet6!$B$2:$B$12</c:f>
              <c:numCache>
                <c:formatCode>General</c:formatCode>
                <c:ptCount val="11"/>
                <c:pt idx="0">
                  <c:v>1</c:v>
                </c:pt>
                <c:pt idx="1">
                  <c:v>16</c:v>
                </c:pt>
                <c:pt idx="2">
                  <c:v>37</c:v>
                </c:pt>
                <c:pt idx="3">
                  <c:v>18</c:v>
                </c:pt>
                <c:pt idx="4">
                  <c:v>27</c:v>
                </c:pt>
                <c:pt idx="5">
                  <c:v>6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64400"/>
        <c:axId val="1620167664"/>
      </c:barChart>
      <c:catAx>
        <c:axId val="162016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7664"/>
        <c:crosses val="autoZero"/>
        <c:auto val="1"/>
        <c:lblAlgn val="ctr"/>
        <c:lblOffset val="100"/>
        <c:noMultiLvlLbl val="0"/>
      </c:catAx>
      <c:valAx>
        <c:axId val="1620167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Sheet7!$A$2:$A$12</c:f>
              <c:strCache>
                <c:ptCount val="11"/>
                <c:pt idx="0">
                  <c:v>0</c:v>
                </c:pt>
                <c:pt idx="1">
                  <c:v>80</c:v>
                </c:pt>
                <c:pt idx="2">
                  <c:v>160</c:v>
                </c:pt>
                <c:pt idx="3">
                  <c:v>240</c:v>
                </c:pt>
                <c:pt idx="4">
                  <c:v>320</c:v>
                </c:pt>
                <c:pt idx="5">
                  <c:v>400</c:v>
                </c:pt>
                <c:pt idx="6">
                  <c:v>480</c:v>
                </c:pt>
                <c:pt idx="7">
                  <c:v>560</c:v>
                </c:pt>
                <c:pt idx="8">
                  <c:v>640</c:v>
                </c:pt>
                <c:pt idx="9">
                  <c:v>720</c:v>
                </c:pt>
                <c:pt idx="10">
                  <c:v>More</c:v>
                </c:pt>
              </c:strCache>
            </c:strRef>
          </c:cat>
          <c:val>
            <c:numRef>
              <c:f>Sheet7!$B$2:$B$12</c:f>
              <c:numCache>
                <c:formatCode>General</c:formatCode>
                <c:ptCount val="11"/>
                <c:pt idx="0">
                  <c:v>6</c:v>
                </c:pt>
                <c:pt idx="1">
                  <c:v>28</c:v>
                </c:pt>
                <c:pt idx="2">
                  <c:v>22</c:v>
                </c:pt>
                <c:pt idx="3">
                  <c:v>13</c:v>
                </c:pt>
                <c:pt idx="4">
                  <c:v>14</c:v>
                </c:pt>
                <c:pt idx="5">
                  <c:v>10</c:v>
                </c:pt>
                <c:pt idx="6">
                  <c:v>0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0166032"/>
        <c:axId val="1615444896"/>
      </c:barChart>
      <c:catAx>
        <c:axId val="162016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444896"/>
        <c:crosses val="autoZero"/>
        <c:auto val="1"/>
        <c:lblAlgn val="ctr"/>
        <c:lblOffset val="100"/>
        <c:noMultiLvlLbl val="0"/>
      </c:catAx>
      <c:valAx>
        <c:axId val="1615444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0166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Sheet8!$A$2:$A$12</c:f>
              <c:strCache>
                <c:ptCount val="11"/>
                <c:pt idx="0">
                  <c:v>0.1</c:v>
                </c:pt>
                <c:pt idx="1">
                  <c:v>10.09</c:v>
                </c:pt>
                <c:pt idx="2">
                  <c:v>20.08</c:v>
                </c:pt>
                <c:pt idx="3">
                  <c:v>30.07</c:v>
                </c:pt>
                <c:pt idx="4">
                  <c:v>40.06</c:v>
                </c:pt>
                <c:pt idx="5">
                  <c:v>50.05</c:v>
                </c:pt>
                <c:pt idx="6">
                  <c:v>60.04</c:v>
                </c:pt>
                <c:pt idx="7">
                  <c:v>70.03</c:v>
                </c:pt>
                <c:pt idx="8">
                  <c:v>80.02</c:v>
                </c:pt>
                <c:pt idx="9">
                  <c:v>90.01</c:v>
                </c:pt>
                <c:pt idx="10">
                  <c:v>More</c:v>
                </c:pt>
              </c:strCache>
            </c:strRef>
          </c:cat>
          <c:val>
            <c:numRef>
              <c:f>Sheet8!$B$2:$B$12</c:f>
              <c:numCache>
                <c:formatCode>General</c:formatCode>
                <c:ptCount val="11"/>
                <c:pt idx="0">
                  <c:v>4</c:v>
                </c:pt>
                <c:pt idx="1">
                  <c:v>93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5446528"/>
        <c:axId val="1615448160"/>
      </c:barChart>
      <c:catAx>
        <c:axId val="161544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448160"/>
        <c:crosses val="autoZero"/>
        <c:auto val="1"/>
        <c:lblAlgn val="ctr"/>
        <c:lblOffset val="100"/>
        <c:noMultiLvlLbl val="0"/>
      </c:catAx>
      <c:valAx>
        <c:axId val="16154481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15446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DATA!$AD$2:$AD$112</c:f>
              <c:numCache>
                <c:formatCode>General</c:formatCode>
                <c:ptCount val="111"/>
                <c:pt idx="0">
                  <c:v>-2.6117120822772133</c:v>
                </c:pt>
                <c:pt idx="1">
                  <c:v>-2.2111272410853271</c:v>
                </c:pt>
                <c:pt idx="2">
                  <c:v>-2.0042335798798194</c:v>
                </c:pt>
                <c:pt idx="3">
                  <c:v>-1.8587466122710705</c:v>
                </c:pt>
                <c:pt idx="4">
                  <c:v>-1.7444475421409684</c:v>
                </c:pt>
                <c:pt idx="5">
                  <c:v>-1.6492369585066657</c:v>
                </c:pt>
                <c:pt idx="6">
                  <c:v>-1.5669896232638028</c:v>
                </c:pt>
                <c:pt idx="7">
                  <c:v>-1.4941549086209043</c:v>
                </c:pt>
                <c:pt idx="8">
                  <c:v>-1.4284820653066665</c:v>
                </c:pt>
                <c:pt idx="9">
                  <c:v>-1.3684502922532074</c:v>
                </c:pt>
                <c:pt idx="10">
                  <c:v>-1.3129814789733745</c:v>
                </c:pt>
                <c:pt idx="11">
                  <c:v>-1.2612821577584186</c:v>
                </c:pt>
                <c:pt idx="12">
                  <c:v>-1.2127505015980071</c:v>
                </c:pt>
                <c:pt idx="13">
                  <c:v>-1.1669186011353176</c:v>
                </c:pt>
                <c:pt idx="14">
                  <c:v>-1.123415049164985</c:v>
                </c:pt>
                <c:pt idx="15">
                  <c:v>-1.0819397980292538</c:v>
                </c:pt>
                <c:pt idx="16">
                  <c:v>-1.042246741832408</c:v>
                </c:pt>
                <c:pt idx="17">
                  <c:v>-1.0041313313244864</c:v>
                </c:pt>
                <c:pt idx="18">
                  <c:v>-0.96742156610170071</c:v>
                </c:pt>
                <c:pt idx="19">
                  <c:v>-0.93197131234319142</c:v>
                </c:pt>
                <c:pt idx="20">
                  <c:v>-0.89765525842446814</c:v>
                </c:pt>
                <c:pt idx="21">
                  <c:v>-0.86436504736313291</c:v>
                </c:pt>
                <c:pt idx="22">
                  <c:v>-0.83200627001647276</c:v>
                </c:pt>
                <c:pt idx="23">
                  <c:v>-0.80049609797455912</c:v>
                </c:pt>
                <c:pt idx="24">
                  <c:v>-0.76976139875600935</c:v>
                </c:pt>
                <c:pt idx="25">
                  <c:v>-0.73973721941388981</c:v>
                </c:pt>
                <c:pt idx="26">
                  <c:v>-0.71036555491602327</c:v>
                </c:pt>
                <c:pt idx="27">
                  <c:v>-0.68159433905286215</c:v>
                </c:pt>
                <c:pt idx="28">
                  <c:v>-0.65337661097153532</c:v>
                </c:pt>
                <c:pt idx="29">
                  <c:v>-0.62566982159467477</c:v>
                </c:pt>
                <c:pt idx="30">
                  <c:v>-0.59843525240079998</c:v>
                </c:pt>
                <c:pt idx="31">
                  <c:v>-0.5716375251650857</c:v>
                </c:pt>
                <c:pt idx="32">
                  <c:v>-0.54524418586888423</c:v>
                </c:pt>
                <c:pt idx="33">
                  <c:v>-0.51922534949168586</c:v>
                </c:pt>
                <c:pt idx="34">
                  <c:v>-0.4935533950895456</c:v>
                </c:pt>
                <c:pt idx="35">
                  <c:v>-0.46820270264667324</c:v>
                </c:pt>
                <c:pt idx="36">
                  <c:v>-0.4431494248121573</c:v>
                </c:pt>
                <c:pt idx="37">
                  <c:v>-0.41837128791165434</c:v>
                </c:pt>
                <c:pt idx="38">
                  <c:v>-0.39384741763566572</c:v>
                </c:pt>
                <c:pt idx="39">
                  <c:v>-0.36955818561240211</c:v>
                </c:pt>
                <c:pt idx="40">
                  <c:v>-0.34548507371979847</c:v>
                </c:pt>
                <c:pt idx="41">
                  <c:v>-0.32161055351265833</c:v>
                </c:pt>
                <c:pt idx="42">
                  <c:v>-0.29791797856351676</c:v>
                </c:pt>
                <c:pt idx="43">
                  <c:v>-0.27439148786003692</c:v>
                </c:pt>
                <c:pt idx="44">
                  <c:v>-0.25101591868327155</c:v>
                </c:pt>
                <c:pt idx="45">
                  <c:v>-0.22777672762222839</c:v>
                </c:pt>
                <c:pt idx="46">
                  <c:v>-0.20465991857047608</c:v>
                </c:pt>
                <c:pt idx="47">
                  <c:v>-0.18165197670757266</c:v>
                </c:pt>
                <c:pt idx="48">
                  <c:v>-0.15873980759786754</c:v>
                </c:pt>
                <c:pt idx="49">
                  <c:v>-0.13591068064648049</c:v>
                </c:pt>
                <c:pt idx="50">
                  <c:v>-0.11315217624074865</c:v>
                </c:pt>
                <c:pt idx="51">
                  <c:v>-9.0452135978168868E-2</c:v>
                </c:pt>
                <c:pt idx="52">
                  <c:v>-6.7798615441235721E-2</c:v>
                </c:pt>
                <c:pt idx="53">
                  <c:v>-4.5179839027475119E-2</c:v>
                </c:pt>
                <c:pt idx="54">
                  <c:v>-2.2584156380876554E-2</c:v>
                </c:pt>
                <c:pt idx="55">
                  <c:v>0</c:v>
                </c:pt>
                <c:pt idx="56">
                  <c:v>2.2584156380876554E-2</c:v>
                </c:pt>
                <c:pt idx="57">
                  <c:v>4.5179839027475258E-2</c:v>
                </c:pt>
                <c:pt idx="58">
                  <c:v>6.7798615441235568E-2</c:v>
                </c:pt>
                <c:pt idx="59">
                  <c:v>9.0452135978168716E-2</c:v>
                </c:pt>
                <c:pt idx="60">
                  <c:v>0.11315217624074865</c:v>
                </c:pt>
                <c:pt idx="61">
                  <c:v>0.13591068064648049</c:v>
                </c:pt>
                <c:pt idx="62">
                  <c:v>0.15873980759786754</c:v>
                </c:pt>
                <c:pt idx="63">
                  <c:v>0.18165197670757277</c:v>
                </c:pt>
                <c:pt idx="64">
                  <c:v>0.20465991857047597</c:v>
                </c:pt>
                <c:pt idx="65">
                  <c:v>0.22777672762222823</c:v>
                </c:pt>
                <c:pt idx="66">
                  <c:v>0.25101591868327155</c:v>
                </c:pt>
                <c:pt idx="67">
                  <c:v>0.27439148786003692</c:v>
                </c:pt>
                <c:pt idx="68">
                  <c:v>0.29791797856351676</c:v>
                </c:pt>
                <c:pt idx="69">
                  <c:v>0.32161055351265849</c:v>
                </c:pt>
                <c:pt idx="70">
                  <c:v>0.34548507371979842</c:v>
                </c:pt>
                <c:pt idx="71">
                  <c:v>0.36955818561240195</c:v>
                </c:pt>
                <c:pt idx="72">
                  <c:v>0.39384741763566572</c:v>
                </c:pt>
                <c:pt idx="73">
                  <c:v>0.41837128791165434</c:v>
                </c:pt>
                <c:pt idx="74">
                  <c:v>0.44314942481215747</c:v>
                </c:pt>
                <c:pt idx="75">
                  <c:v>0.46820270264667324</c:v>
                </c:pt>
                <c:pt idx="76">
                  <c:v>0.49355339508954532</c:v>
                </c:pt>
                <c:pt idx="77">
                  <c:v>0.51922534949168586</c:v>
                </c:pt>
                <c:pt idx="78">
                  <c:v>0.54524418586888423</c:v>
                </c:pt>
                <c:pt idx="79">
                  <c:v>0.5716375251650857</c:v>
                </c:pt>
                <c:pt idx="80">
                  <c:v>0.59843525240080009</c:v>
                </c:pt>
                <c:pt idx="81">
                  <c:v>0.62566982159467532</c:v>
                </c:pt>
                <c:pt idx="82">
                  <c:v>0.65337661097153521</c:v>
                </c:pt>
                <c:pt idx="83">
                  <c:v>0.68159433905286215</c:v>
                </c:pt>
                <c:pt idx="84">
                  <c:v>0.71036555491602327</c:v>
                </c:pt>
                <c:pt idx="85">
                  <c:v>0.73973721941388981</c:v>
                </c:pt>
                <c:pt idx="86">
                  <c:v>0.76976139875600935</c:v>
                </c:pt>
                <c:pt idx="87">
                  <c:v>0.80049609797455923</c:v>
                </c:pt>
                <c:pt idx="88">
                  <c:v>0.83200627001647276</c:v>
                </c:pt>
                <c:pt idx="89">
                  <c:v>0.86436504736313291</c:v>
                </c:pt>
                <c:pt idx="90">
                  <c:v>0.89765525842446814</c:v>
                </c:pt>
                <c:pt idx="91">
                  <c:v>0.93197131234319142</c:v>
                </c:pt>
                <c:pt idx="92">
                  <c:v>0.96742156610170071</c:v>
                </c:pt>
                <c:pt idx="93">
                  <c:v>1.0041313313244848</c:v>
                </c:pt>
                <c:pt idx="94">
                  <c:v>1.042246741832408</c:v>
                </c:pt>
                <c:pt idx="95">
                  <c:v>1.0819397980292538</c:v>
                </c:pt>
                <c:pt idx="96">
                  <c:v>1.123415049164985</c:v>
                </c:pt>
                <c:pt idx="97">
                  <c:v>1.1669186011353176</c:v>
                </c:pt>
                <c:pt idx="98">
                  <c:v>1.2127505015980078</c:v>
                </c:pt>
                <c:pt idx="99">
                  <c:v>1.2612821577584183</c:v>
                </c:pt>
                <c:pt idx="100">
                  <c:v>1.3129814789733745</c:v>
                </c:pt>
                <c:pt idx="101">
                  <c:v>1.3684502922532074</c:v>
                </c:pt>
                <c:pt idx="102">
                  <c:v>1.4284820653066665</c:v>
                </c:pt>
                <c:pt idx="103">
                  <c:v>1.4941549086209054</c:v>
                </c:pt>
                <c:pt idx="104">
                  <c:v>1.5669896232638034</c:v>
                </c:pt>
                <c:pt idx="105">
                  <c:v>1.6492369585066653</c:v>
                </c:pt>
                <c:pt idx="106">
                  <c:v>1.7444475421409682</c:v>
                </c:pt>
                <c:pt idx="107">
                  <c:v>1.8587466122710696</c:v>
                </c:pt>
                <c:pt idx="108">
                  <c:v>2.0042335798798194</c:v>
                </c:pt>
                <c:pt idx="109">
                  <c:v>2.2111272410853289</c:v>
                </c:pt>
                <c:pt idx="110">
                  <c:v>2.6117120822772177</c:v>
                </c:pt>
              </c:numCache>
            </c:numRef>
          </c:xVal>
          <c:yVal>
            <c:numRef>
              <c:f>DATA!$AE$2:$AE$112</c:f>
              <c:numCache>
                <c:formatCode>0.0</c:formatCode>
                <c:ptCount val="11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0.25</c:v>
                </c:pt>
                <c:pt idx="7">
                  <c:v>0.35</c:v>
                </c:pt>
                <c:pt idx="8">
                  <c:v>0.4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0.6</c:v>
                </c:pt>
                <c:pt idx="15">
                  <c:v>0.6</c:v>
                </c:pt>
                <c:pt idx="16">
                  <c:v>0.7</c:v>
                </c:pt>
                <c:pt idx="17">
                  <c:v>0.7</c:v>
                </c:pt>
                <c:pt idx="18">
                  <c:v>0.75</c:v>
                </c:pt>
                <c:pt idx="19">
                  <c:v>0.75</c:v>
                </c:pt>
                <c:pt idx="20">
                  <c:v>0.8</c:v>
                </c:pt>
                <c:pt idx="21">
                  <c:v>0.85</c:v>
                </c:pt>
                <c:pt idx="22">
                  <c:v>0.9</c:v>
                </c:pt>
                <c:pt idx="23">
                  <c:v>0.9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1.25</c:v>
                </c:pt>
                <c:pt idx="50">
                  <c:v>1.5</c:v>
                </c:pt>
                <c:pt idx="51">
                  <c:v>1.5</c:v>
                </c:pt>
                <c:pt idx="52">
                  <c:v>1.5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2.5</c:v>
                </c:pt>
                <c:pt idx="62">
                  <c:v>2.5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3.5</c:v>
                </c:pt>
                <c:pt idx="67">
                  <c:v>3.8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7</c:v>
                </c:pt>
                <c:pt idx="83">
                  <c:v>7.5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20</c:v>
                </c:pt>
                <c:pt idx="98">
                  <c:v>20</c:v>
                </c:pt>
                <c:pt idx="99">
                  <c:v>30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70</c:v>
                </c:pt>
                <c:pt idx="105">
                  <c:v>75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233952"/>
        <c:axId val="931921632"/>
      </c:scatterChart>
      <c:valAx>
        <c:axId val="161523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921632"/>
        <c:crosses val="autoZero"/>
        <c:crossBetween val="midCat"/>
      </c:valAx>
      <c:valAx>
        <c:axId val="9319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3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0</xdr:row>
      <xdr:rowOff>175260</xdr:rowOff>
    </xdr:from>
    <xdr:to>
      <xdr:col>9</xdr:col>
      <xdr:colOff>251460</xdr:colOff>
      <xdr:row>10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1746250</xdr:colOff>
      <xdr:row>97</xdr:row>
      <xdr:rowOff>139700</xdr:rowOff>
    </xdr:from>
    <xdr:to>
      <xdr:col>31</xdr:col>
      <xdr:colOff>590550</xdr:colOff>
      <xdr:row>111</xdr:row>
      <xdr:rowOff>127000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18</v>
      </c>
      <c r="B2" s="11">
        <v>4</v>
      </c>
    </row>
    <row r="3" spans="1:2" x14ac:dyDescent="0.3">
      <c r="A3" s="11">
        <v>19.2</v>
      </c>
      <c r="B3" s="11">
        <v>10</v>
      </c>
    </row>
    <row r="4" spans="1:2" x14ac:dyDescent="0.3">
      <c r="A4" s="11">
        <v>20.399999999999999</v>
      </c>
      <c r="B4" s="11">
        <v>17</v>
      </c>
    </row>
    <row r="5" spans="1:2" x14ac:dyDescent="0.3">
      <c r="A5" s="11">
        <v>21.6</v>
      </c>
      <c r="B5" s="11">
        <v>24</v>
      </c>
    </row>
    <row r="6" spans="1:2" x14ac:dyDescent="0.3">
      <c r="A6" s="11">
        <v>22.8</v>
      </c>
      <c r="B6" s="11">
        <v>16</v>
      </c>
    </row>
    <row r="7" spans="1:2" x14ac:dyDescent="0.3">
      <c r="A7" s="11">
        <v>24</v>
      </c>
      <c r="B7" s="11">
        <v>26</v>
      </c>
    </row>
    <row r="8" spans="1:2" x14ac:dyDescent="0.3">
      <c r="A8" s="11">
        <v>25.2</v>
      </c>
      <c r="B8" s="11">
        <v>4</v>
      </c>
    </row>
    <row r="9" spans="1:2" x14ac:dyDescent="0.3">
      <c r="A9" s="11">
        <v>26.4</v>
      </c>
      <c r="B9" s="11">
        <v>5</v>
      </c>
    </row>
    <row r="10" spans="1:2" x14ac:dyDescent="0.3">
      <c r="A10" s="11">
        <v>27.6</v>
      </c>
      <c r="B10" s="11">
        <v>2</v>
      </c>
    </row>
    <row r="11" spans="1:2" x14ac:dyDescent="0.3">
      <c r="A11" s="11">
        <v>28.799999999999997</v>
      </c>
      <c r="B11" s="11">
        <v>1</v>
      </c>
    </row>
    <row r="12" spans="1:2" ht="15" thickBot="1" x14ac:dyDescent="0.35">
      <c r="A12" s="12" t="s">
        <v>40</v>
      </c>
      <c r="B12" s="12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2</v>
      </c>
      <c r="B2" s="11">
        <v>1</v>
      </c>
    </row>
    <row r="3" spans="1:2" x14ac:dyDescent="0.3">
      <c r="A3" s="11">
        <v>2.19</v>
      </c>
      <c r="B3" s="11">
        <v>1</v>
      </c>
    </row>
    <row r="4" spans="1:2" x14ac:dyDescent="0.3">
      <c r="A4" s="11">
        <v>2.38</v>
      </c>
      <c r="B4" s="11">
        <v>2</v>
      </c>
    </row>
    <row r="5" spans="1:2" x14ac:dyDescent="0.3">
      <c r="A5" s="11">
        <v>2.5700000000000003</v>
      </c>
      <c r="B5" s="11">
        <v>10</v>
      </c>
    </row>
    <row r="6" spans="1:2" x14ac:dyDescent="0.3">
      <c r="A6" s="11">
        <v>2.76</v>
      </c>
      <c r="B6" s="11">
        <v>6</v>
      </c>
    </row>
    <row r="7" spans="1:2" x14ac:dyDescent="0.3">
      <c r="A7" s="11">
        <v>2.95</v>
      </c>
      <c r="B7" s="11">
        <v>15</v>
      </c>
    </row>
    <row r="8" spans="1:2" x14ac:dyDescent="0.3">
      <c r="A8" s="11">
        <v>3.14</v>
      </c>
      <c r="B8" s="11">
        <v>24</v>
      </c>
    </row>
    <row r="9" spans="1:2" x14ac:dyDescent="0.3">
      <c r="A9" s="11">
        <v>3.33</v>
      </c>
      <c r="B9" s="11">
        <v>18</v>
      </c>
    </row>
    <row r="10" spans="1:2" x14ac:dyDescent="0.3">
      <c r="A10" s="11">
        <v>3.52</v>
      </c>
      <c r="B10" s="11">
        <v>18</v>
      </c>
    </row>
    <row r="11" spans="1:2" x14ac:dyDescent="0.3">
      <c r="A11" s="11">
        <v>3.71</v>
      </c>
      <c r="B11" s="11">
        <v>12</v>
      </c>
    </row>
    <row r="12" spans="1:2" ht="15" thickBot="1" x14ac:dyDescent="0.35">
      <c r="A12" s="12" t="s">
        <v>40</v>
      </c>
      <c r="B12" s="12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30</v>
      </c>
      <c r="B2" s="11">
        <v>1</v>
      </c>
    </row>
    <row r="3" spans="1:2" x14ac:dyDescent="0.3">
      <c r="A3" s="11">
        <v>35.5</v>
      </c>
      <c r="B3" s="11">
        <v>5</v>
      </c>
    </row>
    <row r="4" spans="1:2" x14ac:dyDescent="0.3">
      <c r="A4" s="11">
        <v>41</v>
      </c>
      <c r="B4" s="11">
        <v>3</v>
      </c>
    </row>
    <row r="5" spans="1:2" x14ac:dyDescent="0.3">
      <c r="A5" s="11">
        <v>46.5</v>
      </c>
      <c r="B5" s="11">
        <v>21</v>
      </c>
    </row>
    <row r="6" spans="1:2" x14ac:dyDescent="0.3">
      <c r="A6" s="11">
        <v>52</v>
      </c>
      <c r="B6" s="11">
        <v>19</v>
      </c>
    </row>
    <row r="7" spans="1:2" x14ac:dyDescent="0.3">
      <c r="A7" s="11">
        <v>57.5</v>
      </c>
      <c r="B7" s="11">
        <v>19</v>
      </c>
    </row>
    <row r="8" spans="1:2" x14ac:dyDescent="0.3">
      <c r="A8" s="11">
        <v>63</v>
      </c>
      <c r="B8" s="11">
        <v>18</v>
      </c>
    </row>
    <row r="9" spans="1:2" x14ac:dyDescent="0.3">
      <c r="A9" s="11">
        <v>68.5</v>
      </c>
      <c r="B9" s="11">
        <v>17</v>
      </c>
    </row>
    <row r="10" spans="1:2" x14ac:dyDescent="0.3">
      <c r="A10" s="11">
        <v>74</v>
      </c>
      <c r="B10" s="11">
        <v>3</v>
      </c>
    </row>
    <row r="11" spans="1:2" x14ac:dyDescent="0.3">
      <c r="A11" s="11">
        <v>79.5</v>
      </c>
      <c r="B11" s="11">
        <v>2</v>
      </c>
    </row>
    <row r="12" spans="1:2" ht="15" thickBot="1" x14ac:dyDescent="0.35">
      <c r="A12" s="12" t="s">
        <v>40</v>
      </c>
      <c r="B12" s="12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0</v>
      </c>
      <c r="B2" s="11">
        <v>4</v>
      </c>
    </row>
    <row r="3" spans="1:2" x14ac:dyDescent="0.3">
      <c r="A3" s="11">
        <v>1.5</v>
      </c>
      <c r="B3" s="11">
        <v>4</v>
      </c>
    </row>
    <row r="4" spans="1:2" x14ac:dyDescent="0.3">
      <c r="A4" s="11">
        <v>3</v>
      </c>
      <c r="B4" s="11">
        <v>22</v>
      </c>
    </row>
    <row r="5" spans="1:2" x14ac:dyDescent="0.3">
      <c r="A5" s="11">
        <v>4.5</v>
      </c>
      <c r="B5" s="11">
        <v>24</v>
      </c>
    </row>
    <row r="6" spans="1:2" x14ac:dyDescent="0.3">
      <c r="A6" s="11">
        <v>6</v>
      </c>
      <c r="B6" s="11">
        <v>28</v>
      </c>
    </row>
    <row r="7" spans="1:2" x14ac:dyDescent="0.3">
      <c r="A7" s="11">
        <v>7.5</v>
      </c>
      <c r="B7" s="11">
        <v>10</v>
      </c>
    </row>
    <row r="8" spans="1:2" x14ac:dyDescent="0.3">
      <c r="A8" s="11">
        <v>9</v>
      </c>
      <c r="B8" s="11">
        <v>11</v>
      </c>
    </row>
    <row r="9" spans="1:2" x14ac:dyDescent="0.3">
      <c r="A9" s="11">
        <v>10.5</v>
      </c>
      <c r="B9" s="11">
        <v>1</v>
      </c>
    </row>
    <row r="10" spans="1:2" x14ac:dyDescent="0.3">
      <c r="A10" s="11">
        <v>12</v>
      </c>
      <c r="B10" s="11">
        <v>5</v>
      </c>
    </row>
    <row r="11" spans="1:2" x14ac:dyDescent="0.3">
      <c r="A11" s="11">
        <v>13.5</v>
      </c>
      <c r="B11" s="11">
        <v>1</v>
      </c>
    </row>
    <row r="12" spans="1:2" ht="15" thickBot="1" x14ac:dyDescent="0.35">
      <c r="A12" s="12" t="s">
        <v>40</v>
      </c>
      <c r="B12" s="12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1</v>
      </c>
      <c r="B2" s="11">
        <v>5</v>
      </c>
    </row>
    <row r="3" spans="1:2" x14ac:dyDescent="0.3">
      <c r="A3" s="11">
        <v>1.6</v>
      </c>
      <c r="B3" s="11">
        <v>0</v>
      </c>
    </row>
    <row r="4" spans="1:2" x14ac:dyDescent="0.3">
      <c r="A4" s="11">
        <v>2.2000000000000002</v>
      </c>
      <c r="B4" s="11">
        <v>3</v>
      </c>
    </row>
    <row r="5" spans="1:2" x14ac:dyDescent="0.3">
      <c r="A5" s="11">
        <v>2.8</v>
      </c>
      <c r="B5" s="11">
        <v>0</v>
      </c>
    </row>
    <row r="6" spans="1:2" x14ac:dyDescent="0.3">
      <c r="A6" s="11">
        <v>3.4</v>
      </c>
      <c r="B6" s="11">
        <v>19</v>
      </c>
    </row>
    <row r="7" spans="1:2" x14ac:dyDescent="0.3">
      <c r="A7" s="11">
        <v>4</v>
      </c>
      <c r="B7" s="11">
        <v>45</v>
      </c>
    </row>
    <row r="8" spans="1:2" x14ac:dyDescent="0.3">
      <c r="A8" s="11">
        <v>4.5999999999999996</v>
      </c>
      <c r="B8" s="11">
        <v>0</v>
      </c>
    </row>
    <row r="9" spans="1:2" x14ac:dyDescent="0.3">
      <c r="A9" s="11">
        <v>5.2</v>
      </c>
      <c r="B9" s="11">
        <v>28</v>
      </c>
    </row>
    <row r="10" spans="1:2" x14ac:dyDescent="0.3">
      <c r="A10" s="11">
        <v>5.8</v>
      </c>
      <c r="B10" s="11">
        <v>0</v>
      </c>
    </row>
    <row r="11" spans="1:2" x14ac:dyDescent="0.3">
      <c r="A11" s="11">
        <v>6.3999999999999995</v>
      </c>
      <c r="B11" s="11">
        <v>10</v>
      </c>
    </row>
    <row r="12" spans="1:2" ht="15" thickBot="1" x14ac:dyDescent="0.35">
      <c r="A12" s="12" t="s">
        <v>40</v>
      </c>
      <c r="B12" s="1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570</v>
      </c>
      <c r="B2" s="11">
        <v>1</v>
      </c>
    </row>
    <row r="3" spans="1:2" x14ac:dyDescent="0.3">
      <c r="A3" s="11">
        <v>713</v>
      </c>
      <c r="B3" s="11">
        <v>16</v>
      </c>
    </row>
    <row r="4" spans="1:2" x14ac:dyDescent="0.3">
      <c r="A4" s="11">
        <v>856</v>
      </c>
      <c r="B4" s="11">
        <v>37</v>
      </c>
    </row>
    <row r="5" spans="1:2" x14ac:dyDescent="0.3">
      <c r="A5" s="11">
        <v>999</v>
      </c>
      <c r="B5" s="11">
        <v>18</v>
      </c>
    </row>
    <row r="6" spans="1:2" x14ac:dyDescent="0.3">
      <c r="A6" s="11">
        <v>1142</v>
      </c>
      <c r="B6" s="11">
        <v>27</v>
      </c>
    </row>
    <row r="7" spans="1:2" x14ac:dyDescent="0.3">
      <c r="A7" s="11">
        <v>1285</v>
      </c>
      <c r="B7" s="11">
        <v>6</v>
      </c>
    </row>
    <row r="8" spans="1:2" x14ac:dyDescent="0.3">
      <c r="A8" s="11">
        <v>1428</v>
      </c>
      <c r="B8" s="11">
        <v>1</v>
      </c>
    </row>
    <row r="9" spans="1:2" x14ac:dyDescent="0.3">
      <c r="A9" s="11">
        <v>1571</v>
      </c>
      <c r="B9" s="11">
        <v>2</v>
      </c>
    </row>
    <row r="10" spans="1:2" x14ac:dyDescent="0.3">
      <c r="A10" s="11">
        <v>1714</v>
      </c>
      <c r="B10" s="11">
        <v>2</v>
      </c>
    </row>
    <row r="11" spans="1:2" x14ac:dyDescent="0.3">
      <c r="A11" s="11">
        <v>1857</v>
      </c>
      <c r="B11" s="11">
        <v>0</v>
      </c>
    </row>
    <row r="12" spans="1:2" ht="15" thickBot="1" x14ac:dyDescent="0.35">
      <c r="A12" s="12" t="s">
        <v>40</v>
      </c>
      <c r="B12" s="12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0</v>
      </c>
      <c r="B2" s="11">
        <v>6</v>
      </c>
    </row>
    <row r="3" spans="1:2" x14ac:dyDescent="0.3">
      <c r="A3" s="11">
        <v>80</v>
      </c>
      <c r="B3" s="11">
        <v>28</v>
      </c>
    </row>
    <row r="4" spans="1:2" x14ac:dyDescent="0.3">
      <c r="A4" s="11">
        <v>160</v>
      </c>
      <c r="B4" s="11">
        <v>22</v>
      </c>
    </row>
    <row r="5" spans="1:2" x14ac:dyDescent="0.3">
      <c r="A5" s="11">
        <v>240</v>
      </c>
      <c r="B5" s="11">
        <v>13</v>
      </c>
    </row>
    <row r="6" spans="1:2" x14ac:dyDescent="0.3">
      <c r="A6" s="11">
        <v>320</v>
      </c>
      <c r="B6" s="11">
        <v>14</v>
      </c>
    </row>
    <row r="7" spans="1:2" x14ac:dyDescent="0.3">
      <c r="A7" s="11">
        <v>400</v>
      </c>
      <c r="B7" s="11">
        <v>10</v>
      </c>
    </row>
    <row r="8" spans="1:2" x14ac:dyDescent="0.3">
      <c r="A8" s="11">
        <v>480</v>
      </c>
      <c r="B8" s="11">
        <v>0</v>
      </c>
    </row>
    <row r="9" spans="1:2" x14ac:dyDescent="0.3">
      <c r="A9" s="11">
        <v>560</v>
      </c>
      <c r="B9" s="11">
        <v>8</v>
      </c>
    </row>
    <row r="10" spans="1:2" x14ac:dyDescent="0.3">
      <c r="A10" s="11">
        <v>640</v>
      </c>
      <c r="B10" s="11">
        <v>3</v>
      </c>
    </row>
    <row r="11" spans="1:2" x14ac:dyDescent="0.3">
      <c r="A11" s="11">
        <v>720</v>
      </c>
      <c r="B11" s="11">
        <v>4</v>
      </c>
    </row>
    <row r="12" spans="1:2" ht="15" thickBot="1" x14ac:dyDescent="0.35">
      <c r="A12" s="12" t="s">
        <v>40</v>
      </c>
      <c r="B12" s="12">
        <v>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4" x14ac:dyDescent="0.3"/>
  <sheetData>
    <row r="1" spans="1:2" x14ac:dyDescent="0.3">
      <c r="A1" s="13" t="s">
        <v>39</v>
      </c>
      <c r="B1" s="13" t="s">
        <v>41</v>
      </c>
    </row>
    <row r="2" spans="1:2" x14ac:dyDescent="0.3">
      <c r="A2" s="11">
        <v>0.1</v>
      </c>
      <c r="B2" s="11">
        <v>4</v>
      </c>
    </row>
    <row r="3" spans="1:2" x14ac:dyDescent="0.3">
      <c r="A3" s="11">
        <v>10.09</v>
      </c>
      <c r="B3" s="11">
        <v>93</v>
      </c>
    </row>
    <row r="4" spans="1:2" x14ac:dyDescent="0.3">
      <c r="A4" s="11">
        <v>20.080000000000002</v>
      </c>
      <c r="B4" s="11">
        <v>2</v>
      </c>
    </row>
    <row r="5" spans="1:2" x14ac:dyDescent="0.3">
      <c r="A5" s="11">
        <v>30.07</v>
      </c>
      <c r="B5" s="11">
        <v>1</v>
      </c>
    </row>
    <row r="6" spans="1:2" x14ac:dyDescent="0.3">
      <c r="A6" s="11">
        <v>40.06</v>
      </c>
      <c r="B6" s="11">
        <v>0</v>
      </c>
    </row>
    <row r="7" spans="1:2" x14ac:dyDescent="0.3">
      <c r="A7" s="11">
        <v>50.050000000000004</v>
      </c>
      <c r="B7" s="11">
        <v>4</v>
      </c>
    </row>
    <row r="8" spans="1:2" x14ac:dyDescent="0.3">
      <c r="A8" s="11">
        <v>60.04</v>
      </c>
      <c r="B8" s="11">
        <v>0</v>
      </c>
    </row>
    <row r="9" spans="1:2" x14ac:dyDescent="0.3">
      <c r="A9" s="11">
        <v>70.03</v>
      </c>
      <c r="B9" s="11">
        <v>1</v>
      </c>
    </row>
    <row r="10" spans="1:2" x14ac:dyDescent="0.3">
      <c r="A10" s="11">
        <v>80.02</v>
      </c>
      <c r="B10" s="11">
        <v>1</v>
      </c>
    </row>
    <row r="11" spans="1:2" x14ac:dyDescent="0.3">
      <c r="A11" s="11">
        <v>90.009999999999991</v>
      </c>
      <c r="B11" s="11">
        <v>0</v>
      </c>
    </row>
    <row r="12" spans="1:2" ht="15" thickBot="1" x14ac:dyDescent="0.35">
      <c r="A12" s="12" t="s">
        <v>40</v>
      </c>
      <c r="B12" s="12">
        <v>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"/>
  <sheetViews>
    <sheetView tabSelected="1" topLeftCell="AA92" zoomScale="120" zoomScaleNormal="120" workbookViewId="0">
      <selection activeCell="AD2" sqref="AD2:AE112"/>
    </sheetView>
  </sheetViews>
  <sheetFormatPr defaultColWidth="9.109375" defaultRowHeight="15.6" x14ac:dyDescent="0.3"/>
  <cols>
    <col min="1" max="1" width="4.44140625" style="5" bestFit="1" customWidth="1"/>
    <col min="2" max="2" width="10.6640625" style="5" customWidth="1"/>
    <col min="3" max="4" width="22.77734375" style="5" customWidth="1"/>
    <col min="5" max="5" width="8.21875" style="5" customWidth="1"/>
    <col min="6" max="6" width="13.88671875" style="5" customWidth="1"/>
    <col min="7" max="7" width="22.6640625" style="5" customWidth="1"/>
    <col min="8" max="8" width="18.44140625" style="5" customWidth="1"/>
    <col min="9" max="9" width="22.77734375" style="5" customWidth="1"/>
    <col min="10" max="10" width="28.21875" style="5" customWidth="1"/>
    <col min="11" max="11" width="9.88671875" style="6" customWidth="1"/>
    <col min="12" max="14" width="17.5546875" style="5" customWidth="1"/>
    <col min="15" max="15" width="9" style="7" customWidth="1"/>
    <col min="16" max="16" width="30.6640625" style="7" customWidth="1"/>
    <col min="17" max="17" width="19.6640625" style="7" customWidth="1"/>
    <col min="18" max="18" width="14.33203125" style="5" customWidth="1"/>
    <col min="19" max="19" width="26.88671875" style="5" customWidth="1"/>
    <col min="20" max="20" width="13.109375" style="5" customWidth="1"/>
    <col min="21" max="21" width="11.44140625" style="5" bestFit="1" customWidth="1"/>
    <col min="22" max="23" width="26.6640625" style="5" customWidth="1"/>
    <col min="24" max="24" width="21.33203125" style="5" customWidth="1"/>
    <col min="25" max="25" width="15.77734375" style="5" customWidth="1"/>
    <col min="26" max="26" width="36.88671875" style="5" customWidth="1"/>
    <col min="27" max="27" width="11.6640625" style="5" customWidth="1"/>
    <col min="28" max="28" width="17.21875" style="5" customWidth="1"/>
    <col min="29" max="30" width="35.5546875" style="5" customWidth="1"/>
    <col min="31" max="31" width="12.44140625" style="5" customWidth="1"/>
    <col min="32" max="32" width="9.44140625" style="7" bestFit="1" customWidth="1"/>
    <col min="33" max="16384" width="9.109375" style="5"/>
  </cols>
  <sheetData>
    <row r="1" spans="1:32" ht="31.2" x14ac:dyDescent="0.3">
      <c r="A1" s="1" t="s">
        <v>0</v>
      </c>
      <c r="B1" s="1" t="s">
        <v>1</v>
      </c>
      <c r="C1" s="1" t="s">
        <v>42</v>
      </c>
      <c r="D1" s="1" t="s">
        <v>43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2" t="s">
        <v>6</v>
      </c>
      <c r="L1" s="1" t="s">
        <v>7</v>
      </c>
      <c r="M1" s="1" t="s">
        <v>46</v>
      </c>
      <c r="N1" s="1" t="s">
        <v>47</v>
      </c>
      <c r="O1" s="3" t="s">
        <v>8</v>
      </c>
      <c r="P1" s="3" t="s">
        <v>46</v>
      </c>
      <c r="Q1" s="3" t="s">
        <v>48</v>
      </c>
      <c r="R1" s="4" t="s">
        <v>9</v>
      </c>
      <c r="S1" s="4" t="s">
        <v>49</v>
      </c>
      <c r="T1" s="5" t="s">
        <v>47</v>
      </c>
      <c r="U1" s="1" t="s">
        <v>10</v>
      </c>
      <c r="V1" s="1" t="s">
        <v>46</v>
      </c>
      <c r="W1" s="1" t="s">
        <v>48</v>
      </c>
      <c r="X1" s="1" t="s">
        <v>50</v>
      </c>
      <c r="Y1" s="1" t="s">
        <v>51</v>
      </c>
      <c r="Z1" s="1" t="s">
        <v>47</v>
      </c>
      <c r="AA1" s="1"/>
      <c r="AB1" s="1" t="s">
        <v>11</v>
      </c>
      <c r="AC1" s="1" t="s">
        <v>49</v>
      </c>
      <c r="AD1" s="1"/>
      <c r="AE1" s="4" t="s">
        <v>52</v>
      </c>
      <c r="AF1" s="3"/>
    </row>
    <row r="2" spans="1:32" x14ac:dyDescent="0.3">
      <c r="A2" s="5">
        <v>92</v>
      </c>
      <c r="B2" s="5" t="s">
        <v>18</v>
      </c>
      <c r="C2" s="5">
        <f>(ROW(E2)-1)/(COUNT($E$2:$E$112)+1)</f>
        <v>8.9285714285714281E-3</v>
      </c>
      <c r="D2" s="5">
        <f>_xlfn.NORM.S.INV(C2)</f>
        <v>-2.368567059267872</v>
      </c>
      <c r="E2" s="5">
        <v>24</v>
      </c>
      <c r="F2" s="5" t="s">
        <v>29</v>
      </c>
      <c r="G2" s="5" t="s">
        <v>20</v>
      </c>
      <c r="H2" s="5" t="s">
        <v>26</v>
      </c>
      <c r="I2" s="5">
        <f>(ROW(K2)-ROW($K$2)+0.5)/COUNT($K$2:$K$112)</f>
        <v>4.5045045045045045E-3</v>
      </c>
      <c r="J2" s="5">
        <f>_xlfn.NORM.S.INV(I2)</f>
        <v>-2.6117120822772133</v>
      </c>
      <c r="K2" s="6">
        <v>2.9</v>
      </c>
      <c r="L2" s="5" t="s">
        <v>21</v>
      </c>
      <c r="M2" s="5">
        <f>(ROW(O2)-ROW($O$2)+0.5)/COUNT($O$2:$O$112)</f>
        <v>4.5045045045045045E-3</v>
      </c>
      <c r="N2" s="5">
        <f>_xlfn.NORM.S.INV(M2)</f>
        <v>-2.6117120822772133</v>
      </c>
      <c r="O2" s="7">
        <v>50</v>
      </c>
      <c r="P2" s="7">
        <f>(ROW(R2)-ROW($R$2)+0.5)/COUNT($R$2:$R$112)</f>
        <v>4.5045045045045045E-3</v>
      </c>
      <c r="Q2" s="7">
        <f>_xlfn.NORM.S.INV(P2)</f>
        <v>-2.6117120822772133</v>
      </c>
      <c r="R2" s="5">
        <v>4</v>
      </c>
      <c r="S2" s="5">
        <f>(ROW(U2)-ROW($U$2)+0.5)/COUNT($U$2:$U$112)</f>
        <v>4.5045045045045045E-3</v>
      </c>
      <c r="T2" s="5">
        <f>_xlfn.NORM.S.INV(S2)</f>
        <v>-2.6117120822772133</v>
      </c>
      <c r="U2" s="5">
        <v>4</v>
      </c>
      <c r="V2" s="5">
        <f>(ROW(X2)-ROW($X$2)+0.5)/COUNT($T$2:$T$112)</f>
        <v>4.5045045045045045E-3</v>
      </c>
      <c r="W2" s="5">
        <f>_xlfn.NORM.S.INV(V2)</f>
        <v>-2.6117120822772133</v>
      </c>
      <c r="X2" s="5">
        <v>670</v>
      </c>
      <c r="Y2" s="5" t="s">
        <v>17</v>
      </c>
      <c r="Z2" s="5">
        <f>(ROW(AB2)-ROW($AB$2)+0.5)/COUNT($AB$2:$AB$112)</f>
        <v>4.5045045045045045E-3</v>
      </c>
      <c r="AA2" s="5">
        <f>_xlfn.NORM.S.INV(Z2)</f>
        <v>-2.6117120822772133</v>
      </c>
      <c r="AB2" s="5">
        <v>50</v>
      </c>
      <c r="AC2" s="5">
        <f>(ROW(AE2)-ROW($AE$2)+0.5)/COUNT($AE$2:$AE$112)</f>
        <v>4.5045045045045045E-3</v>
      </c>
      <c r="AD2" s="5">
        <f>_xlfn.NORM.S.INV(AC2)</f>
        <v>-2.6117120822772133</v>
      </c>
      <c r="AE2" s="7">
        <v>0.1</v>
      </c>
      <c r="AF2" s="5"/>
    </row>
    <row r="3" spans="1:32" x14ac:dyDescent="0.3">
      <c r="A3" s="5">
        <v>59</v>
      </c>
      <c r="B3" s="5" t="s">
        <v>12</v>
      </c>
      <c r="C3" s="5">
        <f>(ROW(E3)-1)/(COUNT($E$2:$E$112)+1)</f>
        <v>1.7857142857142856E-2</v>
      </c>
      <c r="D3" s="5">
        <f>_xlfn.NORM.S.INV(C3)</f>
        <v>-2.1001654928444697</v>
      </c>
      <c r="E3" s="5">
        <v>22</v>
      </c>
      <c r="F3" s="5" t="s">
        <v>29</v>
      </c>
      <c r="G3" s="5" t="s">
        <v>24</v>
      </c>
      <c r="H3" s="5" t="s">
        <v>30</v>
      </c>
      <c r="I3" s="5">
        <f>(ROW(K3)-ROW($K$2)+0.5)/COUNT($K$2:$K$112)</f>
        <v>1.3513513513513514E-2</v>
      </c>
      <c r="J3" s="5">
        <f>_xlfn.NORM.S.INV(I3)</f>
        <v>-2.2111272410853271</v>
      </c>
      <c r="K3" s="6">
        <v>2.9</v>
      </c>
      <c r="L3" s="5" t="s">
        <v>21</v>
      </c>
      <c r="M3" s="5">
        <f>(ROW(O3)-ROW($O$2)+0.5)/COUNT($O$2:$O$112)</f>
        <v>1.3513513513513514E-2</v>
      </c>
      <c r="N3" s="5">
        <f>_xlfn.NORM.S.INV(M3)</f>
        <v>-2.2111272410853271</v>
      </c>
      <c r="O3" s="7">
        <v>45</v>
      </c>
      <c r="P3" s="7">
        <f>(ROW(R3)-ROW($R$2)+0.5)/COUNT($R$2:$R$112)</f>
        <v>1.3513513513513514E-2</v>
      </c>
      <c r="Q3" s="7">
        <f>_xlfn.NORM.S.INV(P3)</f>
        <v>-2.2111272410853271</v>
      </c>
      <c r="R3" s="5">
        <v>4</v>
      </c>
      <c r="S3" s="5">
        <f>(ROW(U3)-ROW($U$2)+0.5)/COUNT($U$2:$U$112)</f>
        <v>1.3513513513513514E-2</v>
      </c>
      <c r="T3" s="5">
        <f>_xlfn.NORM.S.INV(S3)</f>
        <v>-2.2111272410853271</v>
      </c>
      <c r="U3" s="5">
        <v>4</v>
      </c>
      <c r="V3" s="5">
        <f>(ROW(X3)-ROW($X$2)+0.5)/COUNT($T$2:$T$112)</f>
        <v>1.3513513513513514E-2</v>
      </c>
      <c r="W3" s="5">
        <f>_xlfn.NORM.S.INV(V3)</f>
        <v>-2.2111272410853271</v>
      </c>
      <c r="X3" s="5">
        <v>850</v>
      </c>
      <c r="Y3" s="5" t="s">
        <v>17</v>
      </c>
      <c r="Z3" s="5">
        <f>(ROW(AB3)-ROW($AB$2)+0.5)/COUNT($AB$2:$AB$112)</f>
        <v>1.3513513513513514E-2</v>
      </c>
      <c r="AA3" s="5">
        <f>_xlfn.NORM.S.INV(Z3)</f>
        <v>-2.2111272410853271</v>
      </c>
      <c r="AB3" s="5">
        <v>250</v>
      </c>
      <c r="AC3" s="5">
        <f t="shared" ref="AC3:AC66" si="0">(ROW(AE3)-ROW($AE$2)+0.5)/COUNT($AE$2:$AE$112)</f>
        <v>1.3513513513513514E-2</v>
      </c>
      <c r="AD3" s="5">
        <f t="shared" ref="AD3:AD66" si="1">_xlfn.NORM.S.INV(AC3)</f>
        <v>-2.2111272410853271</v>
      </c>
      <c r="AE3" s="7">
        <v>0.1</v>
      </c>
      <c r="AF3" s="5"/>
    </row>
    <row r="4" spans="1:32" x14ac:dyDescent="0.3">
      <c r="A4" s="5">
        <v>25</v>
      </c>
      <c r="B4" s="5" t="s">
        <v>12</v>
      </c>
      <c r="C4" s="5">
        <f>(ROW(E4)-1)/(COUNT($E$2:$E$112)+1)</f>
        <v>2.6785714285714284E-2</v>
      </c>
      <c r="D4" s="5">
        <f>_xlfn.NORM.S.INV(C4)</f>
        <v>-1.9302858560575813</v>
      </c>
      <c r="E4" s="5">
        <v>20</v>
      </c>
      <c r="F4" s="5" t="s">
        <v>29</v>
      </c>
      <c r="G4" s="5" t="s">
        <v>28</v>
      </c>
      <c r="H4" s="5" t="s">
        <v>15</v>
      </c>
      <c r="I4" s="5">
        <f>(ROW(K4)-ROW($K$2)+0.5)/COUNT($K$2:$K$112)</f>
        <v>2.2522522522522521E-2</v>
      </c>
      <c r="J4" s="5">
        <f>_xlfn.NORM.S.INV(I4)</f>
        <v>-2.0042335798798194</v>
      </c>
      <c r="K4" s="6">
        <v>3</v>
      </c>
      <c r="L4" s="5" t="s">
        <v>21</v>
      </c>
      <c r="M4" s="5">
        <f>(ROW(O4)-ROW($O$2)+0.5)/COUNT($O$2:$O$112)</f>
        <v>2.2522522522522521E-2</v>
      </c>
      <c r="N4" s="5">
        <f>_xlfn.NORM.S.INV(M4)</f>
        <v>-2.0042335798798194</v>
      </c>
      <c r="O4" s="7">
        <v>60</v>
      </c>
      <c r="P4" s="7">
        <f>(ROW(R4)-ROW($R$2)+0.5)/COUNT($R$2:$R$112)</f>
        <v>2.2522522522522521E-2</v>
      </c>
      <c r="Q4" s="7">
        <f>_xlfn.NORM.S.INV(P4)</f>
        <v>-2.0042335798798194</v>
      </c>
      <c r="R4" s="5">
        <v>7</v>
      </c>
      <c r="S4" s="5">
        <f>(ROW(U4)-ROW($U$2)+0.5)/COUNT($U$2:$U$112)</f>
        <v>2.2522522522522521E-2</v>
      </c>
      <c r="T4" s="5">
        <f>_xlfn.NORM.S.INV(S4)</f>
        <v>-2.0042335798798194</v>
      </c>
      <c r="U4" s="5">
        <v>3</v>
      </c>
      <c r="V4" s="5">
        <f>(ROW(X4)-ROW($X$2)+0.5)/COUNT($T$2:$T$112)</f>
        <v>2.2522522522522521E-2</v>
      </c>
      <c r="W4" s="5">
        <f>_xlfn.NORM.S.INV(V4)</f>
        <v>-2.0042335798798194</v>
      </c>
      <c r="X4" s="5">
        <v>1100</v>
      </c>
      <c r="Y4" s="5" t="s">
        <v>17</v>
      </c>
      <c r="Z4" s="5">
        <f>(ROW(AB4)-ROW($AB$2)+0.5)/COUNT($AB$2:$AB$112)</f>
        <v>2.2522522522522521E-2</v>
      </c>
      <c r="AA4" s="5">
        <f>_xlfn.NORM.S.INV(Z4)</f>
        <v>-2.0042335798798194</v>
      </c>
      <c r="AB4" s="5">
        <v>300</v>
      </c>
      <c r="AC4" s="5">
        <f t="shared" si="0"/>
        <v>2.2522522522522521E-2</v>
      </c>
      <c r="AD4" s="5">
        <f t="shared" si="1"/>
        <v>-2.0042335798798194</v>
      </c>
      <c r="AE4" s="7">
        <v>0.1</v>
      </c>
      <c r="AF4" s="5"/>
    </row>
    <row r="5" spans="1:32" x14ac:dyDescent="0.3">
      <c r="A5" s="5">
        <v>71</v>
      </c>
      <c r="B5" s="5" t="s">
        <v>18</v>
      </c>
      <c r="C5" s="5">
        <f>(ROW(E5)-1)/(COUNT($E$2:$E$112)+1)</f>
        <v>3.5714285714285712E-2</v>
      </c>
      <c r="D5" s="5">
        <f>_xlfn.NORM.S.INV(C5)</f>
        <v>-1.8027430907391901</v>
      </c>
      <c r="E5" s="5">
        <v>22</v>
      </c>
      <c r="F5" s="5" t="s">
        <v>23</v>
      </c>
      <c r="G5" s="5" t="s">
        <v>28</v>
      </c>
      <c r="H5" s="5" t="s">
        <v>26</v>
      </c>
      <c r="I5" s="5">
        <f>(ROW(K5)-ROW($K$2)+0.5)/COUNT($K$2:$K$112)</f>
        <v>3.1531531531531529E-2</v>
      </c>
      <c r="J5" s="5">
        <f>_xlfn.NORM.S.INV(I5)</f>
        <v>-1.8587466122710705</v>
      </c>
      <c r="K5" s="6">
        <v>2.6</v>
      </c>
      <c r="L5" s="5" t="s">
        <v>27</v>
      </c>
      <c r="M5" s="5">
        <f>(ROW(O5)-ROW($O$2)+0.5)/COUNT($O$2:$O$112)</f>
        <v>3.1531531531531529E-2</v>
      </c>
      <c r="N5" s="5">
        <f>_xlfn.NORM.S.INV(M5)</f>
        <v>-1.8587466122710705</v>
      </c>
      <c r="O5" s="7">
        <v>60</v>
      </c>
      <c r="P5" s="7">
        <f>(ROW(R5)-ROW($R$2)+0.5)/COUNT($R$2:$R$112)</f>
        <v>3.1531531531531529E-2</v>
      </c>
      <c r="Q5" s="7">
        <f>_xlfn.NORM.S.INV(P5)</f>
        <v>-1.8587466122710705</v>
      </c>
      <c r="R5" s="5">
        <v>9</v>
      </c>
      <c r="S5" s="5">
        <f>(ROW(U5)-ROW($U$2)+0.5)/COUNT($U$2:$U$112)</f>
        <v>3.1531531531531529E-2</v>
      </c>
      <c r="T5" s="5">
        <f>_xlfn.NORM.S.INV(S5)</f>
        <v>-1.8587466122710705</v>
      </c>
      <c r="U5" s="5">
        <v>5</v>
      </c>
      <c r="V5" s="5">
        <f>(ROW(X5)-ROW($X$2)+0.5)/COUNT($T$2:$T$112)</f>
        <v>3.1531531531531529E-2</v>
      </c>
      <c r="W5" s="5">
        <f>_xlfn.NORM.S.INV(V5)</f>
        <v>-1.8587466122710705</v>
      </c>
      <c r="X5" s="5">
        <v>800</v>
      </c>
      <c r="Y5" s="5" t="s">
        <v>17</v>
      </c>
      <c r="Z5" s="5">
        <f>(ROW(AB5)-ROW($AB$2)+0.5)/COUNT($AB$2:$AB$112)</f>
        <v>3.1531531531531529E-2</v>
      </c>
      <c r="AA5" s="5">
        <f>_xlfn.NORM.S.INV(Z5)</f>
        <v>-1.8587466122710705</v>
      </c>
      <c r="AB5" s="5">
        <v>400</v>
      </c>
      <c r="AC5" s="5">
        <f t="shared" si="0"/>
        <v>3.1531531531531529E-2</v>
      </c>
      <c r="AD5" s="5">
        <f t="shared" si="1"/>
        <v>-1.8587466122710705</v>
      </c>
      <c r="AE5" s="7">
        <v>0.1</v>
      </c>
      <c r="AF5" s="5"/>
    </row>
    <row r="6" spans="1:32" x14ac:dyDescent="0.3">
      <c r="A6" s="5">
        <v>35</v>
      </c>
      <c r="B6" s="5" t="s">
        <v>12</v>
      </c>
      <c r="C6" s="5">
        <f>(ROW(E6)-1)/(COUNT($E$2:$E$112)+1)</f>
        <v>4.4642857142857144E-2</v>
      </c>
      <c r="D6" s="5">
        <f>_xlfn.NORM.S.INV(C6)</f>
        <v>-1.6991776601112984</v>
      </c>
      <c r="E6" s="5">
        <v>21</v>
      </c>
      <c r="F6" s="5" t="s">
        <v>13</v>
      </c>
      <c r="G6" s="5" t="s">
        <v>31</v>
      </c>
      <c r="H6" s="5" t="s">
        <v>26</v>
      </c>
      <c r="I6" s="5">
        <f>(ROW(K6)-ROW($K$2)+0.5)/COUNT($K$2:$K$112)</f>
        <v>4.0540540540540543E-2</v>
      </c>
      <c r="J6" s="5">
        <f>_xlfn.NORM.S.INV(I6)</f>
        <v>-1.7444475421409684</v>
      </c>
      <c r="K6" s="6">
        <v>3.4</v>
      </c>
      <c r="L6" s="5" t="s">
        <v>21</v>
      </c>
      <c r="M6" s="5">
        <f>(ROW(O6)-ROW($O$2)+0.5)/COUNT($O$2:$O$112)</f>
        <v>4.0540540540540543E-2</v>
      </c>
      <c r="N6" s="5">
        <f>_xlfn.NORM.S.INV(M6)</f>
        <v>-1.7444475421409684</v>
      </c>
      <c r="O6" s="7">
        <v>45</v>
      </c>
      <c r="P6" s="7">
        <f>(ROW(R6)-ROW($R$2)+0.5)/COUNT($R$2:$R$112)</f>
        <v>4.0540540540540543E-2</v>
      </c>
      <c r="Q6" s="7">
        <f>_xlfn.NORM.S.INV(P6)</f>
        <v>-1.7444475421409684</v>
      </c>
      <c r="R6" s="5">
        <v>4</v>
      </c>
      <c r="S6" s="5">
        <f>(ROW(U6)-ROW($U$2)+0.5)/COUNT($U$2:$U$112)</f>
        <v>4.0540540540540543E-2</v>
      </c>
      <c r="T6" s="5">
        <f>_xlfn.NORM.S.INV(S6)</f>
        <v>-1.7444475421409684</v>
      </c>
      <c r="U6" s="5">
        <v>5</v>
      </c>
      <c r="V6" s="5">
        <f>(ROW(X6)-ROW($X$2)+0.5)/COUNT($T$2:$T$112)</f>
        <v>4.0540540540540543E-2</v>
      </c>
      <c r="W6" s="5">
        <f>_xlfn.NORM.S.INV(V6)</f>
        <v>-1.7444475421409684</v>
      </c>
      <c r="X6" s="5">
        <v>1000</v>
      </c>
      <c r="Y6" s="5" t="s">
        <v>17</v>
      </c>
      <c r="Z6" s="5">
        <f>(ROW(AB6)-ROW($AB$2)+0.5)/COUNT($AB$2:$AB$112)</f>
        <v>4.0540540540540543E-2</v>
      </c>
      <c r="AA6" s="5">
        <f>_xlfn.NORM.S.INV(Z6)</f>
        <v>-1.7444475421409684</v>
      </c>
      <c r="AB6" s="5">
        <v>300</v>
      </c>
      <c r="AC6" s="5">
        <f t="shared" si="0"/>
        <v>4.0540540540540543E-2</v>
      </c>
      <c r="AD6" s="5">
        <f t="shared" si="1"/>
        <v>-1.7444475421409684</v>
      </c>
      <c r="AE6" s="7">
        <v>0.125</v>
      </c>
      <c r="AF6" s="5"/>
    </row>
    <row r="7" spans="1:32" x14ac:dyDescent="0.3">
      <c r="A7" s="5">
        <v>23</v>
      </c>
      <c r="B7" s="5" t="s">
        <v>12</v>
      </c>
      <c r="C7" s="5">
        <f>(ROW(E7)-1)/(COUNT($E$2:$E$112)+1)</f>
        <v>5.3571428571428568E-2</v>
      </c>
      <c r="D7" s="5">
        <f>_xlfn.NORM.S.INV(C7)</f>
        <v>-1.6111691623526765</v>
      </c>
      <c r="E7" s="5">
        <v>20</v>
      </c>
      <c r="F7" s="5" t="s">
        <v>19</v>
      </c>
      <c r="G7" s="5" t="s">
        <v>31</v>
      </c>
      <c r="H7" s="5" t="s">
        <v>26</v>
      </c>
      <c r="I7" s="5">
        <f>(ROW(K7)-ROW($K$2)+0.5)/COUNT($K$2:$K$112)</f>
        <v>4.954954954954955E-2</v>
      </c>
      <c r="J7" s="5">
        <f>_xlfn.NORM.S.INV(I7)</f>
        <v>-1.6492369585066657</v>
      </c>
      <c r="K7" s="6">
        <v>3</v>
      </c>
      <c r="L7" s="5" t="s">
        <v>21</v>
      </c>
      <c r="M7" s="5">
        <f>(ROW(O7)-ROW($O$2)+0.5)/COUNT($O$2:$O$112)</f>
        <v>4.954954954954955E-2</v>
      </c>
      <c r="N7" s="5">
        <f>_xlfn.NORM.S.INV(M7)</f>
        <v>-1.6492369585066657</v>
      </c>
      <c r="O7" s="7">
        <v>60</v>
      </c>
      <c r="P7" s="7">
        <f>(ROW(R7)-ROW($R$2)+0.5)/COUNT($R$2:$R$112)</f>
        <v>4.954954954954955E-2</v>
      </c>
      <c r="Q7" s="7">
        <f>_xlfn.NORM.S.INV(P7)</f>
        <v>-1.6492369585066657</v>
      </c>
      <c r="R7" s="5">
        <v>0</v>
      </c>
      <c r="S7" s="5">
        <f>(ROW(U7)-ROW($U$2)+0.5)/COUNT($U$2:$U$112)</f>
        <v>4.954954954954955E-2</v>
      </c>
      <c r="T7" s="5">
        <f>_xlfn.NORM.S.INV(S7)</f>
        <v>-1.6492369585066657</v>
      </c>
      <c r="U7" s="5">
        <v>4</v>
      </c>
      <c r="V7" s="5">
        <f>(ROW(X7)-ROW($X$2)+0.5)/COUNT($T$2:$T$112)</f>
        <v>4.954954954954955E-2</v>
      </c>
      <c r="W7" s="5">
        <f>_xlfn.NORM.S.INV(V7)</f>
        <v>-1.6492369585066657</v>
      </c>
      <c r="X7" s="5">
        <v>800</v>
      </c>
      <c r="Y7" s="5" t="s">
        <v>17</v>
      </c>
      <c r="Z7" s="5">
        <f>(ROW(AB7)-ROW($AB$2)+0.5)/COUNT($AB$2:$AB$112)</f>
        <v>4.954954954954955E-2</v>
      </c>
      <c r="AA7" s="5">
        <f>_xlfn.NORM.S.INV(Z7)</f>
        <v>-1.6492369585066657</v>
      </c>
      <c r="AB7" s="5">
        <v>35</v>
      </c>
      <c r="AC7" s="5">
        <f t="shared" si="0"/>
        <v>4.954954954954955E-2</v>
      </c>
      <c r="AD7" s="5">
        <f t="shared" si="1"/>
        <v>-1.6492369585066657</v>
      </c>
      <c r="AE7" s="7">
        <v>0.15</v>
      </c>
      <c r="AF7" s="5"/>
    </row>
    <row r="8" spans="1:32" x14ac:dyDescent="0.3">
      <c r="A8" s="5">
        <v>47</v>
      </c>
      <c r="B8" s="5" t="s">
        <v>12</v>
      </c>
      <c r="C8" s="5">
        <f>(ROW(E8)-1)/(COUNT($E$2:$E$112)+1)</f>
        <v>6.25E-2</v>
      </c>
      <c r="D8" s="5">
        <f>_xlfn.NORM.S.INV(C8)</f>
        <v>-1.5341205443525459</v>
      </c>
      <c r="E8" s="5">
        <v>21</v>
      </c>
      <c r="F8" s="5" t="s">
        <v>29</v>
      </c>
      <c r="G8" s="5" t="s">
        <v>31</v>
      </c>
      <c r="H8" s="5" t="s">
        <v>15</v>
      </c>
      <c r="I8" s="5">
        <f>(ROW(K8)-ROW($K$2)+0.5)/COUNT($K$2:$K$112)</f>
        <v>5.8558558558558557E-2</v>
      </c>
      <c r="J8" s="5">
        <f>_xlfn.NORM.S.INV(I8)</f>
        <v>-1.5669896232638028</v>
      </c>
      <c r="K8" s="6">
        <v>3.5</v>
      </c>
      <c r="L8" s="5" t="s">
        <v>27</v>
      </c>
      <c r="M8" s="5">
        <f>(ROW(O8)-ROW($O$2)+0.5)/COUNT($O$2:$O$112)</f>
        <v>5.8558558558558557E-2</v>
      </c>
      <c r="N8" s="5">
        <f>_xlfn.NORM.S.INV(M8)</f>
        <v>-1.5669896232638028</v>
      </c>
      <c r="O8" s="7">
        <v>65</v>
      </c>
      <c r="P8" s="7">
        <f>(ROW(R8)-ROW($R$2)+0.5)/COUNT($R$2:$R$112)</f>
        <v>5.8558558558558557E-2</v>
      </c>
      <c r="Q8" s="7">
        <f>_xlfn.NORM.S.INV(P8)</f>
        <v>-1.5669896232638028</v>
      </c>
      <c r="R8" s="5">
        <v>5</v>
      </c>
      <c r="S8" s="5">
        <f>(ROW(U8)-ROW($U$2)+0.5)/COUNT($U$2:$U$112)</f>
        <v>5.8558558558558557E-2</v>
      </c>
      <c r="T8" s="5">
        <f>_xlfn.NORM.S.INV(S8)</f>
        <v>-1.5669896232638028</v>
      </c>
      <c r="U8" s="5">
        <v>3</v>
      </c>
      <c r="V8" s="5">
        <f>(ROW(X8)-ROW($X$2)+0.5)/COUNT($T$2:$T$112)</f>
        <v>5.8558558558558557E-2</v>
      </c>
      <c r="W8" s="5">
        <f>_xlfn.NORM.S.INV(V8)</f>
        <v>-1.5669896232638028</v>
      </c>
      <c r="X8" s="5">
        <v>850</v>
      </c>
      <c r="Y8" s="5" t="s">
        <v>17</v>
      </c>
      <c r="Z8" s="5">
        <f>(ROW(AB8)-ROW($AB$2)+0.5)/COUNT($AB$2:$AB$112)</f>
        <v>5.8558558558558557E-2</v>
      </c>
      <c r="AA8" s="5">
        <f>_xlfn.NORM.S.INV(Z8)</f>
        <v>-1.5669896232638028</v>
      </c>
      <c r="AB8" s="5">
        <v>200</v>
      </c>
      <c r="AC8" s="5">
        <f t="shared" si="0"/>
        <v>5.8558558558558557E-2</v>
      </c>
      <c r="AD8" s="5">
        <f t="shared" si="1"/>
        <v>-1.5669896232638028</v>
      </c>
      <c r="AE8" s="7">
        <v>0.25</v>
      </c>
      <c r="AF8" s="5"/>
    </row>
    <row r="9" spans="1:32" x14ac:dyDescent="0.3">
      <c r="A9" s="5">
        <v>21</v>
      </c>
      <c r="B9" s="5" t="s">
        <v>12</v>
      </c>
      <c r="C9" s="5">
        <f>(ROW(E9)-1)/(COUNT($E$2:$E$112)+1)</f>
        <v>7.1428571428571425E-2</v>
      </c>
      <c r="D9" s="5">
        <f>_xlfn.NORM.S.INV(C9)</f>
        <v>-1.4652337926855223</v>
      </c>
      <c r="E9" s="5">
        <v>20</v>
      </c>
      <c r="F9" s="5" t="s">
        <v>29</v>
      </c>
      <c r="G9" s="5" t="s">
        <v>31</v>
      </c>
      <c r="H9" s="5" t="s">
        <v>26</v>
      </c>
      <c r="I9" s="5">
        <f>(ROW(K9)-ROW($K$2)+0.5)/COUNT($K$2:$K$112)</f>
        <v>6.7567567567567571E-2</v>
      </c>
      <c r="J9" s="5">
        <f>_xlfn.NORM.S.INV(I9)</f>
        <v>-1.4941549086209043</v>
      </c>
      <c r="K9" s="6">
        <v>3.19</v>
      </c>
      <c r="L9" s="5" t="s">
        <v>21</v>
      </c>
      <c r="M9" s="5">
        <f>(ROW(O9)-ROW($O$2)+0.5)/COUNT($O$2:$O$112)</f>
        <v>6.7567567567567571E-2</v>
      </c>
      <c r="N9" s="5">
        <f>_xlfn.NORM.S.INV(M9)</f>
        <v>-1.4941549086209043</v>
      </c>
      <c r="O9" s="7">
        <v>60</v>
      </c>
      <c r="P9" s="7">
        <f>(ROW(R9)-ROW($R$2)+0.5)/COUNT($R$2:$R$112)</f>
        <v>6.7567567567567571E-2</v>
      </c>
      <c r="Q9" s="7">
        <f>_xlfn.NORM.S.INV(P9)</f>
        <v>-1.4941549086209043</v>
      </c>
      <c r="R9" s="5">
        <v>11</v>
      </c>
      <c r="S9" s="5">
        <f>(ROW(U9)-ROW($U$2)+0.5)/COUNT($U$2:$U$112)</f>
        <v>6.7567567567567571E-2</v>
      </c>
      <c r="T9" s="5">
        <f>_xlfn.NORM.S.INV(S9)</f>
        <v>-1.4941549086209043</v>
      </c>
      <c r="U9" s="5">
        <v>3</v>
      </c>
      <c r="V9" s="5">
        <f>(ROW(X9)-ROW($X$2)+0.5)/COUNT($T$2:$T$112)</f>
        <v>6.7567567567567571E-2</v>
      </c>
      <c r="W9" s="5">
        <f>_xlfn.NORM.S.INV(V9)</f>
        <v>-1.4941549086209043</v>
      </c>
      <c r="X9" s="5">
        <v>1190</v>
      </c>
      <c r="Y9" s="5" t="s">
        <v>17</v>
      </c>
      <c r="Z9" s="5">
        <f>(ROW(AB9)-ROW($AB$2)+0.5)/COUNT($AB$2:$AB$112)</f>
        <v>6.7567567567567571E-2</v>
      </c>
      <c r="AA9" s="5">
        <f>_xlfn.NORM.S.INV(Z9)</f>
        <v>-1.4941549086209043</v>
      </c>
      <c r="AB9" s="5">
        <v>50</v>
      </c>
      <c r="AC9" s="5">
        <f t="shared" si="0"/>
        <v>6.7567567567567571E-2</v>
      </c>
      <c r="AD9" s="5">
        <f t="shared" si="1"/>
        <v>-1.4941549086209043</v>
      </c>
      <c r="AE9" s="7">
        <v>0.35</v>
      </c>
      <c r="AF9" s="5"/>
    </row>
    <row r="10" spans="1:32" x14ac:dyDescent="0.3">
      <c r="A10" s="5">
        <v>20</v>
      </c>
      <c r="B10" s="5" t="s">
        <v>12</v>
      </c>
      <c r="C10" s="5">
        <f>(ROW(E10)-1)/(COUNT($E$2:$E$112)+1)</f>
        <v>8.0357142857142863E-2</v>
      </c>
      <c r="D10" s="5">
        <f>_xlfn.NORM.S.INV(C10)</f>
        <v>-1.402673289992322</v>
      </c>
      <c r="E10" s="5">
        <v>20</v>
      </c>
      <c r="F10" s="5" t="s">
        <v>13</v>
      </c>
      <c r="G10" s="5" t="s">
        <v>20</v>
      </c>
      <c r="H10" s="5" t="s">
        <v>26</v>
      </c>
      <c r="I10" s="5">
        <f>(ROW(K10)-ROW($K$2)+0.5)/COUNT($K$2:$K$112)</f>
        <v>7.6576576576576572E-2</v>
      </c>
      <c r="J10" s="5">
        <f>_xlfn.NORM.S.INV(I10)</f>
        <v>-1.4284820653066665</v>
      </c>
      <c r="K10" s="6">
        <v>3.17</v>
      </c>
      <c r="L10" s="5" t="s">
        <v>27</v>
      </c>
      <c r="M10" s="5">
        <f>(ROW(O10)-ROW($O$2)+0.5)/COUNT($O$2:$O$112)</f>
        <v>7.6576576576576572E-2</v>
      </c>
      <c r="N10" s="5">
        <f>_xlfn.NORM.S.INV(M10)</f>
        <v>-1.4284820653066665</v>
      </c>
      <c r="O10" s="7">
        <v>65</v>
      </c>
      <c r="P10" s="7">
        <f>(ROW(R10)-ROW($R$2)+0.5)/COUNT($R$2:$R$112)</f>
        <v>7.6576576576576572E-2</v>
      </c>
      <c r="Q10" s="7">
        <f>_xlfn.NORM.S.INV(P10)</f>
        <v>-1.4284820653066665</v>
      </c>
      <c r="R10" s="5">
        <v>12</v>
      </c>
      <c r="S10" s="5">
        <f>(ROW(U10)-ROW($U$2)+0.5)/COUNT($U$2:$U$112)</f>
        <v>7.6576576576576572E-2</v>
      </c>
      <c r="T10" s="5">
        <f>_xlfn.NORM.S.INV(S10)</f>
        <v>-1.4284820653066665</v>
      </c>
      <c r="U10" s="5">
        <v>6</v>
      </c>
      <c r="V10" s="5">
        <f>(ROW(X10)-ROW($X$2)+0.5)/COUNT($T$2:$T$112)</f>
        <v>7.6576576576576572E-2</v>
      </c>
      <c r="W10" s="5">
        <f>_xlfn.NORM.S.INV(V10)</f>
        <v>-1.4284820653066665</v>
      </c>
      <c r="X10" s="5">
        <v>800</v>
      </c>
      <c r="Y10" s="5" t="s">
        <v>17</v>
      </c>
      <c r="Z10" s="5">
        <f>(ROW(AB10)-ROW($AB$2)+0.5)/COUNT($AB$2:$AB$112)</f>
        <v>7.6576576576576572E-2</v>
      </c>
      <c r="AA10" s="5">
        <f>_xlfn.NORM.S.INV(Z10)</f>
        <v>-1.4284820653066665</v>
      </c>
      <c r="AB10" s="5">
        <v>350</v>
      </c>
      <c r="AC10" s="5">
        <f t="shared" si="0"/>
        <v>7.6576576576576572E-2</v>
      </c>
      <c r="AD10" s="5">
        <f t="shared" si="1"/>
        <v>-1.4284820653066665</v>
      </c>
      <c r="AE10" s="7">
        <v>0.4</v>
      </c>
      <c r="AF10" s="5"/>
    </row>
    <row r="11" spans="1:32" x14ac:dyDescent="0.3">
      <c r="A11" s="5">
        <v>77</v>
      </c>
      <c r="B11" s="5" t="s">
        <v>18</v>
      </c>
      <c r="C11" s="5">
        <f>(ROW(E11)-1)/(COUNT($E$2:$E$112)+1)</f>
        <v>8.9285714285714288E-2</v>
      </c>
      <c r="D11" s="5">
        <f>_xlfn.NORM.S.INV(C11)</f>
        <v>-1.3451666341766386</v>
      </c>
      <c r="E11" s="5">
        <v>23</v>
      </c>
      <c r="F11" s="5" t="s">
        <v>19</v>
      </c>
      <c r="G11" s="5" t="s">
        <v>20</v>
      </c>
      <c r="H11" s="5" t="s">
        <v>30</v>
      </c>
      <c r="I11" s="5">
        <f>(ROW(K11)-ROW($K$2)+0.5)/COUNT($K$2:$K$112)</f>
        <v>8.5585585585585586E-2</v>
      </c>
      <c r="J11" s="5">
        <f>_xlfn.NORM.S.INV(I11)</f>
        <v>-1.3684502922532074</v>
      </c>
      <c r="K11" s="6">
        <v>2.5</v>
      </c>
      <c r="L11" s="5" t="s">
        <v>16</v>
      </c>
      <c r="M11" s="5">
        <f>(ROW(O11)-ROW($O$2)+0.5)/COUNT($O$2:$O$112)</f>
        <v>8.5585585585585586E-2</v>
      </c>
      <c r="N11" s="5">
        <f>_xlfn.NORM.S.INV(M11)</f>
        <v>-1.3684502922532074</v>
      </c>
      <c r="O11" s="7">
        <v>50</v>
      </c>
      <c r="P11" s="7">
        <f>(ROW(R11)-ROW($R$2)+0.5)/COUNT($R$2:$R$112)</f>
        <v>8.5585585585585586E-2</v>
      </c>
      <c r="Q11" s="7">
        <f>_xlfn.NORM.S.INV(P11)</f>
        <v>-1.3684502922532074</v>
      </c>
      <c r="R11" s="5">
        <v>2</v>
      </c>
      <c r="S11" s="5">
        <f>(ROW(U11)-ROW($U$2)+0.5)/COUNT($U$2:$U$112)</f>
        <v>8.5585585585585586E-2</v>
      </c>
      <c r="T11" s="5">
        <f>_xlfn.NORM.S.INV(S11)</f>
        <v>-1.3684502922532074</v>
      </c>
      <c r="U11" s="5">
        <v>3</v>
      </c>
      <c r="V11" s="5">
        <f>(ROW(X11)-ROW($X$2)+0.5)/COUNT($T$2:$T$112)</f>
        <v>8.5585585585585586E-2</v>
      </c>
      <c r="W11" s="5">
        <f>_xlfn.NORM.S.INV(V11)</f>
        <v>-1.3684502922532074</v>
      </c>
      <c r="X11" s="5">
        <v>800</v>
      </c>
      <c r="Y11" s="5" t="s">
        <v>17</v>
      </c>
      <c r="Z11" s="5">
        <f>(ROW(AB11)-ROW($AB$2)+0.5)/COUNT($AB$2:$AB$112)</f>
        <v>8.5585585585585586E-2</v>
      </c>
      <c r="AA11" s="5">
        <f>_xlfn.NORM.S.INV(Z11)</f>
        <v>-1.3684502922532074</v>
      </c>
      <c r="AB11" s="5">
        <v>5</v>
      </c>
      <c r="AC11" s="5">
        <f t="shared" si="0"/>
        <v>8.5585585585585586E-2</v>
      </c>
      <c r="AD11" s="5">
        <f t="shared" si="1"/>
        <v>-1.3684502922532074</v>
      </c>
      <c r="AE11" s="7">
        <v>0.5</v>
      </c>
      <c r="AF11" s="5"/>
    </row>
    <row r="12" spans="1:32" x14ac:dyDescent="0.3">
      <c r="A12" s="5">
        <v>17</v>
      </c>
      <c r="B12" s="5" t="s">
        <v>12</v>
      </c>
      <c r="C12" s="5">
        <f>(ROW(E12)-1)/(COUNT($E$2:$E$112)+1)</f>
        <v>9.8214285714285712E-2</v>
      </c>
      <c r="D12" s="5">
        <f>_xlfn.NORM.S.INV(C12)</f>
        <v>-1.2917937758243685</v>
      </c>
      <c r="E12" s="5">
        <v>20</v>
      </c>
      <c r="F12" s="5" t="s">
        <v>23</v>
      </c>
      <c r="G12" s="5" t="s">
        <v>24</v>
      </c>
      <c r="H12" s="5" t="s">
        <v>26</v>
      </c>
      <c r="I12" s="5">
        <f>(ROW(K12)-ROW($K$2)+0.5)/COUNT($K$2:$K$112)</f>
        <v>9.45945945945946E-2</v>
      </c>
      <c r="J12" s="5">
        <f>_xlfn.NORM.S.INV(I12)</f>
        <v>-1.3129814789733745</v>
      </c>
      <c r="K12" s="6">
        <v>3.68</v>
      </c>
      <c r="L12" s="5" t="s">
        <v>21</v>
      </c>
      <c r="M12" s="5">
        <f>(ROW(O12)-ROW($O$2)+0.5)/COUNT($O$2:$O$112)</f>
        <v>9.45945945945946E-2</v>
      </c>
      <c r="N12" s="5">
        <f>_xlfn.NORM.S.INV(M12)</f>
        <v>-1.3129814789733745</v>
      </c>
      <c r="O12" s="7">
        <v>60</v>
      </c>
      <c r="P12" s="7">
        <f>(ROW(R12)-ROW($R$2)+0.5)/COUNT($R$2:$R$112)</f>
        <v>9.45945945945946E-2</v>
      </c>
      <c r="Q12" s="7">
        <f>_xlfn.NORM.S.INV(P12)</f>
        <v>-1.3129814789733745</v>
      </c>
      <c r="R12" s="5">
        <v>10</v>
      </c>
      <c r="S12" s="5">
        <f>(ROW(U12)-ROW($U$2)+0.5)/COUNT($U$2:$U$112)</f>
        <v>9.45945945945946E-2</v>
      </c>
      <c r="T12" s="5">
        <f>_xlfn.NORM.S.INV(S12)</f>
        <v>-1.3129814789733745</v>
      </c>
      <c r="U12" s="5">
        <v>4</v>
      </c>
      <c r="V12" s="5">
        <f>(ROW(X12)-ROW($X$2)+0.5)/COUNT($T$2:$T$112)</f>
        <v>9.45945945945946E-2</v>
      </c>
      <c r="W12" s="5">
        <f>_xlfn.NORM.S.INV(V12)</f>
        <v>-1.3129814789733745</v>
      </c>
      <c r="X12" s="5">
        <v>950</v>
      </c>
      <c r="Y12" s="5" t="s">
        <v>25</v>
      </c>
      <c r="Z12" s="5">
        <f>(ROW(AB12)-ROW($AB$2)+0.5)/COUNT($AB$2:$AB$112)</f>
        <v>9.45945945945946E-2</v>
      </c>
      <c r="AA12" s="5">
        <f>_xlfn.NORM.S.INV(Z12)</f>
        <v>-1.3129814789733745</v>
      </c>
      <c r="AB12" s="5">
        <v>150</v>
      </c>
      <c r="AC12" s="5">
        <f t="shared" si="0"/>
        <v>9.45945945945946E-2</v>
      </c>
      <c r="AD12" s="5">
        <f t="shared" si="1"/>
        <v>-1.3129814789733745</v>
      </c>
      <c r="AE12" s="7">
        <v>0.5</v>
      </c>
      <c r="AF12" s="5"/>
    </row>
    <row r="13" spans="1:32" x14ac:dyDescent="0.3">
      <c r="A13" s="5">
        <v>41</v>
      </c>
      <c r="B13" s="5" t="s">
        <v>18</v>
      </c>
      <c r="C13" s="5">
        <f>(ROW(E13)-1)/(COUNT($E$2:$E$112)+1)</f>
        <v>0.10714285714285714</v>
      </c>
      <c r="D13" s="5">
        <f>_xlfn.NORM.S.INV(C13)</f>
        <v>-1.2418667918433208</v>
      </c>
      <c r="E13" s="5">
        <v>21</v>
      </c>
      <c r="F13" s="5" t="s">
        <v>29</v>
      </c>
      <c r="G13" s="5" t="s">
        <v>32</v>
      </c>
      <c r="H13" s="5" t="s">
        <v>15</v>
      </c>
      <c r="I13" s="5">
        <f>(ROW(K13)-ROW($K$2)+0.5)/COUNT($K$2:$K$112)</f>
        <v>0.1036036036036036</v>
      </c>
      <c r="J13" s="5">
        <f>_xlfn.NORM.S.INV(I13)</f>
        <v>-1.2612821577584186</v>
      </c>
      <c r="K13" s="6">
        <v>3.2</v>
      </c>
      <c r="L13" s="5" t="s">
        <v>16</v>
      </c>
      <c r="M13" s="5">
        <f>(ROW(O13)-ROW($O$2)+0.5)/COUNT($O$2:$O$112)</f>
        <v>0.1036036036036036</v>
      </c>
      <c r="N13" s="5">
        <f>_xlfn.NORM.S.INV(M13)</f>
        <v>-1.2612821577584186</v>
      </c>
      <c r="O13" s="7">
        <v>65</v>
      </c>
      <c r="P13" s="7">
        <f>(ROW(R13)-ROW($R$2)+0.5)/COUNT($R$2:$R$112)</f>
        <v>0.1036036036036036</v>
      </c>
      <c r="Q13" s="7">
        <f>_xlfn.NORM.S.INV(P13)</f>
        <v>-1.2612821577584186</v>
      </c>
      <c r="R13" s="5">
        <v>4</v>
      </c>
      <c r="S13" s="5">
        <f>(ROW(U13)-ROW($U$2)+0.5)/COUNT($U$2:$U$112)</f>
        <v>0.1036036036036036</v>
      </c>
      <c r="T13" s="5">
        <f>_xlfn.NORM.S.INV(S13)</f>
        <v>-1.2612821577584186</v>
      </c>
      <c r="U13" s="5">
        <v>4</v>
      </c>
      <c r="V13" s="5">
        <f>(ROW(X13)-ROW($X$2)+0.5)/COUNT($T$2:$T$112)</f>
        <v>0.1036036036036036</v>
      </c>
      <c r="W13" s="5">
        <f>_xlfn.NORM.S.INV(V13)</f>
        <v>-1.2612821577584186</v>
      </c>
      <c r="X13" s="5">
        <v>1180</v>
      </c>
      <c r="Y13" s="5" t="s">
        <v>22</v>
      </c>
      <c r="Z13" s="5">
        <f>(ROW(AB13)-ROW($AB$2)+0.5)/COUNT($AB$2:$AB$112)</f>
        <v>0.1036036036036036</v>
      </c>
      <c r="AA13" s="5">
        <f>_xlfn.NORM.S.INV(Z13)</f>
        <v>-1.2612821577584186</v>
      </c>
      <c r="AB13" s="5">
        <v>200</v>
      </c>
      <c r="AC13" s="5">
        <f t="shared" si="0"/>
        <v>0.1036036036036036</v>
      </c>
      <c r="AD13" s="5">
        <f t="shared" si="1"/>
        <v>-1.2612821577584186</v>
      </c>
      <c r="AE13" s="7">
        <v>0.5</v>
      </c>
      <c r="AF13" s="5"/>
    </row>
    <row r="14" spans="1:32" x14ac:dyDescent="0.3">
      <c r="A14" s="5">
        <v>54</v>
      </c>
      <c r="B14" s="5" t="s">
        <v>18</v>
      </c>
      <c r="C14" s="5">
        <f>(ROW(E14)-1)/(COUNT($E$2:$E$112)+1)</f>
        <v>0.11607142857142858</v>
      </c>
      <c r="D14" s="5">
        <f>_xlfn.NORM.S.INV(C14)</f>
        <v>-1.1948571240757904</v>
      </c>
      <c r="E14" s="5">
        <v>21</v>
      </c>
      <c r="F14" s="5" t="s">
        <v>29</v>
      </c>
      <c r="G14" s="5" t="s">
        <v>31</v>
      </c>
      <c r="H14" s="5" t="s">
        <v>30</v>
      </c>
      <c r="I14" s="5">
        <f>(ROW(K14)-ROW($K$2)+0.5)/COUNT($K$2:$K$112)</f>
        <v>0.11261261261261261</v>
      </c>
      <c r="J14" s="5">
        <f>_xlfn.NORM.S.INV(I14)</f>
        <v>-1.2127505015980071</v>
      </c>
      <c r="K14" s="6">
        <v>3.4</v>
      </c>
      <c r="L14" s="5" t="s">
        <v>21</v>
      </c>
      <c r="M14" s="5">
        <f>(ROW(O14)-ROW($O$2)+0.5)/COUNT($O$2:$O$112)</f>
        <v>0.11261261261261261</v>
      </c>
      <c r="N14" s="5">
        <f>_xlfn.NORM.S.INV(M14)</f>
        <v>-1.2127505015980071</v>
      </c>
      <c r="O14" s="7">
        <v>45</v>
      </c>
      <c r="P14" s="7">
        <f>(ROW(R14)-ROW($R$2)+0.5)/COUNT($R$2:$R$112)</f>
        <v>0.11261261261261261</v>
      </c>
      <c r="Q14" s="7">
        <f>_xlfn.NORM.S.INV(P14)</f>
        <v>-1.2127505015980071</v>
      </c>
      <c r="R14" s="5">
        <v>7</v>
      </c>
      <c r="S14" s="5">
        <f>(ROW(U14)-ROW($U$2)+0.5)/COUNT($U$2:$U$112)</f>
        <v>0.11261261261261261</v>
      </c>
      <c r="T14" s="5">
        <f>_xlfn.NORM.S.INV(S14)</f>
        <v>-1.2127505015980071</v>
      </c>
      <c r="U14" s="5">
        <v>5</v>
      </c>
      <c r="V14" s="5">
        <f>(ROW(X14)-ROW($X$2)+0.5)/COUNT($T$2:$T$112)</f>
        <v>0.11261261261261261</v>
      </c>
      <c r="W14" s="5">
        <f>_xlfn.NORM.S.INV(V14)</f>
        <v>-1.2127505015980071</v>
      </c>
      <c r="X14" s="5">
        <v>1000</v>
      </c>
      <c r="Y14" s="5" t="s">
        <v>17</v>
      </c>
      <c r="Z14" s="5">
        <f>(ROW(AB14)-ROW($AB$2)+0.5)/COUNT($AB$2:$AB$112)</f>
        <v>0.11261261261261261</v>
      </c>
      <c r="AA14" s="5">
        <f>_xlfn.NORM.S.INV(Z14)</f>
        <v>-1.2127505015980071</v>
      </c>
      <c r="AB14" s="5">
        <v>300</v>
      </c>
      <c r="AC14" s="5">
        <f t="shared" si="0"/>
        <v>0.11261261261261261</v>
      </c>
      <c r="AD14" s="5">
        <f t="shared" si="1"/>
        <v>-1.2127505015980071</v>
      </c>
      <c r="AE14" s="7">
        <v>0.5</v>
      </c>
      <c r="AF14" s="5"/>
    </row>
    <row r="15" spans="1:32" x14ac:dyDescent="0.3">
      <c r="A15" s="5">
        <v>45</v>
      </c>
      <c r="B15" s="5" t="s">
        <v>12</v>
      </c>
      <c r="C15" s="5">
        <f>(ROW(E15)-1)/(COUNT($E$2:$E$112)+1)</f>
        <v>0.125</v>
      </c>
      <c r="D15" s="5">
        <f>_xlfn.NORM.S.INV(C15)</f>
        <v>-1.1503493803760083</v>
      </c>
      <c r="E15" s="5">
        <v>21</v>
      </c>
      <c r="F15" s="5" t="s">
        <v>19</v>
      </c>
      <c r="G15" s="5" t="s">
        <v>31</v>
      </c>
      <c r="H15" s="5" t="s">
        <v>30</v>
      </c>
      <c r="I15" s="5">
        <f>(ROW(K15)-ROW($K$2)+0.5)/COUNT($K$2:$K$112)</f>
        <v>0.12162162162162163</v>
      </c>
      <c r="J15" s="5">
        <f>_xlfn.NORM.S.INV(I15)</f>
        <v>-1.1669186011353176</v>
      </c>
      <c r="K15" s="6">
        <v>3</v>
      </c>
      <c r="L15" s="5" t="s">
        <v>21</v>
      </c>
      <c r="M15" s="5">
        <f>(ROW(O15)-ROW($O$2)+0.5)/COUNT($O$2:$O$112)</f>
        <v>0.12162162162162163</v>
      </c>
      <c r="N15" s="5">
        <f>_xlfn.NORM.S.INV(M15)</f>
        <v>-1.1669186011353176</v>
      </c>
      <c r="O15" s="7">
        <v>35</v>
      </c>
      <c r="P15" s="7">
        <f>(ROW(R15)-ROW($R$2)+0.5)/COUNT($R$2:$R$112)</f>
        <v>0.12162162162162163</v>
      </c>
      <c r="Q15" s="7">
        <f>_xlfn.NORM.S.INV(P15)</f>
        <v>-1.1669186011353176</v>
      </c>
      <c r="R15" s="5">
        <v>6</v>
      </c>
      <c r="S15" s="5">
        <f>(ROW(U15)-ROW($U$2)+0.5)/COUNT($U$2:$U$112)</f>
        <v>0.12162162162162163</v>
      </c>
      <c r="T15" s="5">
        <f>_xlfn.NORM.S.INV(S15)</f>
        <v>-1.1669186011353176</v>
      </c>
      <c r="U15" s="5">
        <v>5</v>
      </c>
      <c r="V15" s="5">
        <f>(ROW(X15)-ROW($X$2)+0.5)/COUNT($T$2:$T$112)</f>
        <v>0.12162162162162163</v>
      </c>
      <c r="W15" s="5">
        <f>_xlfn.NORM.S.INV(V15)</f>
        <v>-1.1669186011353176</v>
      </c>
      <c r="X15" s="5">
        <v>1150</v>
      </c>
      <c r="Y15" s="5" t="s">
        <v>22</v>
      </c>
      <c r="Z15" s="5">
        <f>(ROW(AB15)-ROW($AB$2)+0.5)/COUNT($AB$2:$AB$112)</f>
        <v>0.12162162162162163</v>
      </c>
      <c r="AA15" s="5">
        <f>_xlfn.NORM.S.INV(Z15)</f>
        <v>-1.1669186011353176</v>
      </c>
      <c r="AB15" s="5">
        <v>500</v>
      </c>
      <c r="AC15" s="5">
        <f t="shared" si="0"/>
        <v>0.12162162162162163</v>
      </c>
      <c r="AD15" s="5">
        <f t="shared" si="1"/>
        <v>-1.1669186011353176</v>
      </c>
      <c r="AE15" s="7">
        <v>0.5</v>
      </c>
      <c r="AF15" s="5"/>
    </row>
    <row r="16" spans="1:32" x14ac:dyDescent="0.3">
      <c r="A16" s="5">
        <v>7</v>
      </c>
      <c r="B16" s="5" t="s">
        <v>12</v>
      </c>
      <c r="C16" s="5">
        <f>(ROW(E16)-1)/(COUNT($E$2:$E$112)+1)</f>
        <v>0.13392857142857142</v>
      </c>
      <c r="D16" s="5">
        <f>_xlfn.NORM.S.INV(C16)</f>
        <v>-1.1080108204698569</v>
      </c>
      <c r="E16" s="5">
        <v>19</v>
      </c>
      <c r="F16" s="5" t="s">
        <v>29</v>
      </c>
      <c r="G16" s="5" t="s">
        <v>14</v>
      </c>
      <c r="H16" s="5" t="s">
        <v>26</v>
      </c>
      <c r="I16" s="5">
        <f>(ROW(K16)-ROW($K$2)+0.5)/COUNT($K$2:$K$112)</f>
        <v>0.13063063063063063</v>
      </c>
      <c r="J16" s="5">
        <f>_xlfn.NORM.S.INV(I16)</f>
        <v>-1.123415049164985</v>
      </c>
      <c r="K16" s="6">
        <v>3</v>
      </c>
      <c r="L16" s="5" t="s">
        <v>21</v>
      </c>
      <c r="M16" s="5">
        <f>(ROW(O16)-ROW($O$2)+0.5)/COUNT($O$2:$O$112)</f>
        <v>0.13063063063063063</v>
      </c>
      <c r="N16" s="5">
        <f>_xlfn.NORM.S.INV(M16)</f>
        <v>-1.123415049164985</v>
      </c>
      <c r="O16" s="7">
        <v>55</v>
      </c>
      <c r="P16" s="7">
        <f>(ROW(R16)-ROW($R$2)+0.5)/COUNT($R$2:$R$112)</f>
        <v>0.13063063063063063</v>
      </c>
      <c r="Q16" s="7">
        <f>_xlfn.NORM.S.INV(P16)</f>
        <v>-1.123415049164985</v>
      </c>
      <c r="R16" s="5">
        <v>3</v>
      </c>
      <c r="S16" s="5">
        <f>(ROW(U16)-ROW($U$2)+0.5)/COUNT($U$2:$U$112)</f>
        <v>0.13063063063063063</v>
      </c>
      <c r="T16" s="5">
        <f>_xlfn.NORM.S.INV(S16)</f>
        <v>-1.123415049164985</v>
      </c>
      <c r="U16" s="5">
        <v>3</v>
      </c>
      <c r="V16" s="5">
        <f>(ROW(X16)-ROW($X$2)+0.5)/COUNT($T$2:$T$112)</f>
        <v>0.13063063063063063</v>
      </c>
      <c r="W16" s="5">
        <f>_xlfn.NORM.S.INV(V16)</f>
        <v>-1.123415049164985</v>
      </c>
      <c r="X16" s="5">
        <v>1000</v>
      </c>
      <c r="Y16" s="5" t="s">
        <v>17</v>
      </c>
      <c r="Z16" s="5">
        <f>(ROW(AB16)-ROW($AB$2)+0.5)/COUNT($AB$2:$AB$112)</f>
        <v>0.13063063063063063</v>
      </c>
      <c r="AA16" s="5">
        <f>_xlfn.NORM.S.INV(Z16)</f>
        <v>-1.123415049164985</v>
      </c>
      <c r="AB16" s="5">
        <v>50</v>
      </c>
      <c r="AC16" s="5">
        <f t="shared" si="0"/>
        <v>0.13063063063063063</v>
      </c>
      <c r="AD16" s="5">
        <f t="shared" si="1"/>
        <v>-1.123415049164985</v>
      </c>
      <c r="AE16" s="7">
        <v>0.6</v>
      </c>
      <c r="AF16" s="5"/>
    </row>
    <row r="17" spans="1:32" x14ac:dyDescent="0.3">
      <c r="A17" s="5">
        <v>9</v>
      </c>
      <c r="B17" s="5" t="s">
        <v>12</v>
      </c>
      <c r="C17" s="5">
        <f>(ROW(E17)-1)/(COUNT($E$2:$E$112)+1)</f>
        <v>0.14285714285714285</v>
      </c>
      <c r="D17" s="5">
        <f>_xlfn.NORM.S.INV(C17)</f>
        <v>-1.0675705238781419</v>
      </c>
      <c r="E17" s="5">
        <v>19</v>
      </c>
      <c r="F17" s="5" t="s">
        <v>13</v>
      </c>
      <c r="G17" s="5" t="s">
        <v>20</v>
      </c>
      <c r="H17" s="5" t="s">
        <v>15</v>
      </c>
      <c r="I17" s="5">
        <f>(ROW(K17)-ROW($K$2)+0.5)/COUNT($K$2:$K$112)</f>
        <v>0.13963963963963963</v>
      </c>
      <c r="J17" s="5">
        <f>_xlfn.NORM.S.INV(I17)</f>
        <v>-1.0819397980292538</v>
      </c>
      <c r="K17" s="6">
        <v>3.6</v>
      </c>
      <c r="L17" s="5" t="s">
        <v>27</v>
      </c>
      <c r="M17" s="5">
        <f>(ROW(O17)-ROW($O$2)+0.5)/COUNT($O$2:$O$112)</f>
        <v>0.13963963963963963</v>
      </c>
      <c r="N17" s="5">
        <f>_xlfn.NORM.S.INV(M17)</f>
        <v>-1.0819397980292538</v>
      </c>
      <c r="O17" s="7">
        <v>35</v>
      </c>
      <c r="P17" s="7">
        <f>(ROW(R17)-ROW($R$2)+0.5)/COUNT($R$2:$R$112)</f>
        <v>0.13963963963963963</v>
      </c>
      <c r="Q17" s="7">
        <f>_xlfn.NORM.S.INV(P17)</f>
        <v>-1.0819397980292538</v>
      </c>
      <c r="R17" s="5">
        <v>0</v>
      </c>
      <c r="S17" s="5">
        <f>(ROW(U17)-ROW($U$2)+0.5)/COUNT($U$2:$U$112)</f>
        <v>0.13963963963963963</v>
      </c>
      <c r="T17" s="5">
        <f>_xlfn.NORM.S.INV(S17)</f>
        <v>-1.0819397980292538</v>
      </c>
      <c r="U17" s="5">
        <v>4</v>
      </c>
      <c r="V17" s="5">
        <f>(ROW(X17)-ROW($X$2)+0.5)/COUNT($T$2:$T$112)</f>
        <v>0.13963963963963963</v>
      </c>
      <c r="W17" s="5">
        <f>_xlfn.NORM.S.INV(V17)</f>
        <v>-1.0819397980292538</v>
      </c>
      <c r="X17" s="5">
        <v>1000</v>
      </c>
      <c r="Y17" s="5" t="s">
        <v>17</v>
      </c>
      <c r="Z17" s="5">
        <f>(ROW(AB17)-ROW($AB$2)+0.5)/COUNT($AB$2:$AB$112)</f>
        <v>0.13963963963963963</v>
      </c>
      <c r="AA17" s="5">
        <f>_xlfn.NORM.S.INV(Z17)</f>
        <v>-1.0819397980292538</v>
      </c>
      <c r="AB17" s="5">
        <v>400</v>
      </c>
      <c r="AC17" s="5">
        <f t="shared" si="0"/>
        <v>0.13963963963963963</v>
      </c>
      <c r="AD17" s="5">
        <f t="shared" si="1"/>
        <v>-1.0819397980292538</v>
      </c>
      <c r="AE17" s="7">
        <v>0.6</v>
      </c>
      <c r="AF17" s="5"/>
    </row>
    <row r="18" spans="1:32" x14ac:dyDescent="0.3">
      <c r="A18" s="5">
        <v>13</v>
      </c>
      <c r="B18" s="5" t="s">
        <v>18</v>
      </c>
      <c r="C18" s="5">
        <f>(ROW(E18)-1)/(COUNT($E$2:$E$112)+1)</f>
        <v>0.15178571428571427</v>
      </c>
      <c r="D18" s="5">
        <f>_xlfn.NORM.S.INV(C18)</f>
        <v>-1.0288047620058449</v>
      </c>
      <c r="E18" s="5">
        <v>19</v>
      </c>
      <c r="F18" s="5" t="s">
        <v>19</v>
      </c>
      <c r="G18" s="5" t="s">
        <v>33</v>
      </c>
      <c r="H18" s="5" t="s">
        <v>26</v>
      </c>
      <c r="I18" s="5">
        <f>(ROW(K18)-ROW($K$2)+0.5)/COUNT($K$2:$K$112)</f>
        <v>0.14864864864864866</v>
      </c>
      <c r="J18" s="5">
        <f>_xlfn.NORM.S.INV(I18)</f>
        <v>-1.042246741832408</v>
      </c>
      <c r="K18" s="6">
        <v>3.4</v>
      </c>
      <c r="L18" s="5" t="s">
        <v>21</v>
      </c>
      <c r="M18" s="5">
        <f>(ROW(O18)-ROW($O$2)+0.5)/COUNT($O$2:$O$112)</f>
        <v>0.14864864864864866</v>
      </c>
      <c r="N18" s="5">
        <f>_xlfn.NORM.S.INV(M18)</f>
        <v>-1.042246741832408</v>
      </c>
      <c r="O18" s="7">
        <v>45</v>
      </c>
      <c r="P18" s="7">
        <f>(ROW(R18)-ROW($R$2)+0.5)/COUNT($R$2:$R$112)</f>
        <v>0.14864864864864866</v>
      </c>
      <c r="Q18" s="7">
        <f>_xlfn.NORM.S.INV(P18)</f>
        <v>-1.042246741832408</v>
      </c>
      <c r="R18" s="5">
        <v>6</v>
      </c>
      <c r="S18" s="5">
        <f>(ROW(U18)-ROW($U$2)+0.5)/COUNT($U$2:$U$112)</f>
        <v>0.14864864864864866</v>
      </c>
      <c r="T18" s="5">
        <f>_xlfn.NORM.S.INV(S18)</f>
        <v>-1.042246741832408</v>
      </c>
      <c r="U18" s="5">
        <v>3</v>
      </c>
      <c r="V18" s="5">
        <f>(ROW(X18)-ROW($X$2)+0.5)/COUNT($T$2:$T$112)</f>
        <v>0.14864864864864866</v>
      </c>
      <c r="W18" s="5">
        <f>_xlfn.NORM.S.INV(V18)</f>
        <v>-1.042246741832408</v>
      </c>
      <c r="X18" s="5">
        <v>900</v>
      </c>
      <c r="Y18" s="5" t="s">
        <v>22</v>
      </c>
      <c r="Z18" s="5">
        <f>(ROW(AB18)-ROW($AB$2)+0.5)/COUNT($AB$2:$AB$112)</f>
        <v>0.14864864864864866</v>
      </c>
      <c r="AA18" s="5">
        <f>_xlfn.NORM.S.INV(Z18)</f>
        <v>-1.042246741832408</v>
      </c>
      <c r="AB18" s="5">
        <v>45</v>
      </c>
      <c r="AC18" s="5">
        <f t="shared" si="0"/>
        <v>0.14864864864864866</v>
      </c>
      <c r="AD18" s="5">
        <f t="shared" si="1"/>
        <v>-1.042246741832408</v>
      </c>
      <c r="AE18" s="7">
        <v>0.7</v>
      </c>
      <c r="AF18" s="5"/>
    </row>
    <row r="19" spans="1:32" x14ac:dyDescent="0.3">
      <c r="A19" s="5">
        <v>50</v>
      </c>
      <c r="B19" s="5" t="s">
        <v>12</v>
      </c>
      <c r="C19" s="5">
        <f>(ROW(E19)-1)/(COUNT($E$2:$E$112)+1)</f>
        <v>0.16071428571428573</v>
      </c>
      <c r="D19" s="5">
        <f>_xlfn.NORM.S.INV(C19)</f>
        <v>-0.99152647467733057</v>
      </c>
      <c r="E19" s="5">
        <v>21</v>
      </c>
      <c r="F19" s="5" t="s">
        <v>13</v>
      </c>
      <c r="G19" s="5" t="s">
        <v>28</v>
      </c>
      <c r="H19" s="5" t="s">
        <v>26</v>
      </c>
      <c r="I19" s="5">
        <f>(ROW(K19)-ROW($K$2)+0.5)/COUNT($K$2:$K$112)</f>
        <v>0.15765765765765766</v>
      </c>
      <c r="J19" s="5">
        <f>_xlfn.NORM.S.INV(I19)</f>
        <v>-1.0041313313244864</v>
      </c>
      <c r="K19" s="6">
        <v>3</v>
      </c>
      <c r="L19" s="5" t="s">
        <v>21</v>
      </c>
      <c r="M19" s="5">
        <f>(ROW(O19)-ROW($O$2)+0.5)/COUNT($O$2:$O$112)</f>
        <v>0.15765765765765766</v>
      </c>
      <c r="N19" s="5">
        <f>_xlfn.NORM.S.INV(M19)</f>
        <v>-1.0041313313244864</v>
      </c>
      <c r="O19" s="7">
        <v>50</v>
      </c>
      <c r="P19" s="7">
        <f>(ROW(R19)-ROW($R$2)+0.5)/COUNT($R$2:$R$112)</f>
        <v>0.15765765765765766</v>
      </c>
      <c r="Q19" s="7">
        <f>_xlfn.NORM.S.INV(P19)</f>
        <v>-1.0041313313244864</v>
      </c>
      <c r="R19" s="5">
        <v>5</v>
      </c>
      <c r="S19" s="5">
        <f>(ROW(U19)-ROW($U$2)+0.5)/COUNT($U$2:$U$112)</f>
        <v>0.15765765765765766</v>
      </c>
      <c r="T19" s="5">
        <f>_xlfn.NORM.S.INV(S19)</f>
        <v>-1.0041313313244864</v>
      </c>
      <c r="U19" s="5">
        <v>3</v>
      </c>
      <c r="V19" s="5">
        <f>(ROW(X19)-ROW($X$2)+0.5)/COUNT($T$2:$T$112)</f>
        <v>0.15765765765765766</v>
      </c>
      <c r="W19" s="5">
        <f>_xlfn.NORM.S.INV(V19)</f>
        <v>-1.0041313313244864</v>
      </c>
      <c r="X19" s="5">
        <v>1020</v>
      </c>
      <c r="Y19" s="5" t="s">
        <v>17</v>
      </c>
      <c r="Z19" s="5">
        <f>(ROW(AB19)-ROW($AB$2)+0.5)/COUNT($AB$2:$AB$112)</f>
        <v>0.15765765765765766</v>
      </c>
      <c r="AA19" s="5">
        <f>_xlfn.NORM.S.INV(Z19)</f>
        <v>-1.0041313313244864</v>
      </c>
      <c r="AB19" s="5">
        <v>105</v>
      </c>
      <c r="AC19" s="5">
        <f t="shared" si="0"/>
        <v>0.15765765765765766</v>
      </c>
      <c r="AD19" s="5">
        <f t="shared" si="1"/>
        <v>-1.0041313313244864</v>
      </c>
      <c r="AE19" s="7">
        <v>0.7</v>
      </c>
      <c r="AF19" s="5"/>
    </row>
    <row r="20" spans="1:32" x14ac:dyDescent="0.3">
      <c r="A20" s="5">
        <v>33</v>
      </c>
      <c r="B20" s="5" t="s">
        <v>18</v>
      </c>
      <c r="C20" s="5">
        <f>(ROW(E20)-1)/(COUNT($E$2:$E$112)+1)</f>
        <v>0.16964285714285715</v>
      </c>
      <c r="D20" s="5">
        <f>_xlfn.NORM.S.INV(C20)</f>
        <v>-0.95557753794043065</v>
      </c>
      <c r="E20" s="5">
        <v>21</v>
      </c>
      <c r="F20" s="5" t="s">
        <v>29</v>
      </c>
      <c r="G20" s="5" t="s">
        <v>32</v>
      </c>
      <c r="H20" s="5" t="s">
        <v>15</v>
      </c>
      <c r="I20" s="5">
        <f>(ROW(K20)-ROW($K$2)+0.5)/COUNT($K$2:$K$112)</f>
        <v>0.16666666666666666</v>
      </c>
      <c r="J20" s="5">
        <f>_xlfn.NORM.S.INV(I20)</f>
        <v>-0.96742156610170071</v>
      </c>
      <c r="K20" s="6">
        <v>3.6</v>
      </c>
      <c r="L20" s="5" t="s">
        <v>21</v>
      </c>
      <c r="M20" s="5">
        <f>(ROW(O20)-ROW($O$2)+0.5)/COUNT($O$2:$O$112)</f>
        <v>0.16666666666666666</v>
      </c>
      <c r="N20" s="5">
        <f>_xlfn.NORM.S.INV(M20)</f>
        <v>-0.96742156610170071</v>
      </c>
      <c r="O20" s="7">
        <v>40</v>
      </c>
      <c r="P20" s="7">
        <f>(ROW(R20)-ROW($R$2)+0.5)/COUNT($R$2:$R$112)</f>
        <v>0.16666666666666666</v>
      </c>
      <c r="Q20" s="7">
        <f>_xlfn.NORM.S.INV(P20)</f>
        <v>-0.96742156610170071</v>
      </c>
      <c r="R20" s="5">
        <v>6</v>
      </c>
      <c r="S20" s="5">
        <f>(ROW(U20)-ROW($U$2)+0.5)/COUNT($U$2:$U$112)</f>
        <v>0.16666666666666666</v>
      </c>
      <c r="T20" s="5">
        <f>_xlfn.NORM.S.INV(S20)</f>
        <v>-0.96742156610170071</v>
      </c>
      <c r="U20" s="5">
        <v>4</v>
      </c>
      <c r="V20" s="5">
        <f>(ROW(X20)-ROW($X$2)+0.5)/COUNT($T$2:$T$112)</f>
        <v>0.16666666666666666</v>
      </c>
      <c r="W20" s="5">
        <f>_xlfn.NORM.S.INV(V20)</f>
        <v>-0.96742156610170071</v>
      </c>
      <c r="X20" s="5">
        <v>700</v>
      </c>
      <c r="Y20" s="5" t="s">
        <v>17</v>
      </c>
      <c r="Z20" s="5">
        <f>(ROW(AB20)-ROW($AB$2)+0.5)/COUNT($AB$2:$AB$112)</f>
        <v>0.16666666666666666</v>
      </c>
      <c r="AA20" s="5">
        <f>_xlfn.NORM.S.INV(Z20)</f>
        <v>-0.96742156610170071</v>
      </c>
      <c r="AB20" s="5">
        <v>70</v>
      </c>
      <c r="AC20" s="5">
        <f t="shared" si="0"/>
        <v>0.16666666666666666</v>
      </c>
      <c r="AD20" s="5">
        <f t="shared" si="1"/>
        <v>-0.96742156610170071</v>
      </c>
      <c r="AE20" s="7">
        <v>0.75</v>
      </c>
      <c r="AF20" s="5"/>
    </row>
    <row r="21" spans="1:32" x14ac:dyDescent="0.3">
      <c r="A21" s="5">
        <v>36</v>
      </c>
      <c r="B21" s="5" t="s">
        <v>12</v>
      </c>
      <c r="C21" s="5">
        <f>(ROW(E21)-1)/(COUNT($E$2:$E$112)+1)</f>
        <v>0.17857142857142858</v>
      </c>
      <c r="D21" s="5">
        <f>_xlfn.NORM.S.INV(C21)</f>
        <v>-0.9208229763683794</v>
      </c>
      <c r="E21" s="5">
        <v>21</v>
      </c>
      <c r="F21" s="5" t="s">
        <v>29</v>
      </c>
      <c r="G21" s="5" t="s">
        <v>32</v>
      </c>
      <c r="H21" s="5" t="s">
        <v>15</v>
      </c>
      <c r="I21" s="5">
        <f>(ROW(K21)-ROW($K$2)+0.5)/COUNT($K$2:$K$112)</f>
        <v>0.17567567567567569</v>
      </c>
      <c r="J21" s="5">
        <f>_xlfn.NORM.S.INV(I21)</f>
        <v>-0.93197131234319142</v>
      </c>
      <c r="K21" s="6">
        <v>3.3</v>
      </c>
      <c r="L21" s="5" t="s">
        <v>21</v>
      </c>
      <c r="M21" s="5">
        <f>(ROW(O21)-ROW($O$2)+0.5)/COUNT($O$2:$O$112)</f>
        <v>0.17567567567567569</v>
      </c>
      <c r="N21" s="5">
        <f>_xlfn.NORM.S.INV(M21)</f>
        <v>-0.93197131234319142</v>
      </c>
      <c r="O21" s="7">
        <v>65</v>
      </c>
      <c r="P21" s="7">
        <f>(ROW(R21)-ROW($R$2)+0.5)/COUNT($R$2:$R$112)</f>
        <v>0.17567567567567569</v>
      </c>
      <c r="Q21" s="7">
        <f>_xlfn.NORM.S.INV(P21)</f>
        <v>-0.93197131234319142</v>
      </c>
      <c r="R21" s="5">
        <v>2</v>
      </c>
      <c r="S21" s="5">
        <f>(ROW(U21)-ROW($U$2)+0.5)/COUNT($U$2:$U$112)</f>
        <v>0.17567567567567569</v>
      </c>
      <c r="T21" s="5">
        <f>_xlfn.NORM.S.INV(S21)</f>
        <v>-0.93197131234319142</v>
      </c>
      <c r="U21" s="5">
        <v>4</v>
      </c>
      <c r="V21" s="5">
        <f>(ROW(X21)-ROW($X$2)+0.5)/COUNT($T$2:$T$112)</f>
        <v>0.17567567567567569</v>
      </c>
      <c r="W21" s="5">
        <f>_xlfn.NORM.S.INV(V21)</f>
        <v>-0.93197131234319142</v>
      </c>
      <c r="X21" s="5">
        <v>950</v>
      </c>
      <c r="Y21" s="5" t="s">
        <v>22</v>
      </c>
      <c r="Z21" s="5">
        <f>(ROW(AB21)-ROW($AB$2)+0.5)/COUNT($AB$2:$AB$112)</f>
        <v>0.17567567567567569</v>
      </c>
      <c r="AA21" s="5">
        <f>_xlfn.NORM.S.INV(Z21)</f>
        <v>-0.93197131234319142</v>
      </c>
      <c r="AB21" s="5">
        <v>300</v>
      </c>
      <c r="AC21" s="5">
        <f t="shared" si="0"/>
        <v>0.17567567567567569</v>
      </c>
      <c r="AD21" s="5">
        <f t="shared" si="1"/>
        <v>-0.93197131234319142</v>
      </c>
      <c r="AE21" s="7">
        <v>0.75</v>
      </c>
      <c r="AF21" s="5"/>
    </row>
    <row r="22" spans="1:32" x14ac:dyDescent="0.3">
      <c r="A22" s="5">
        <v>105</v>
      </c>
      <c r="B22" s="5" t="s">
        <v>12</v>
      </c>
      <c r="C22" s="5">
        <f>(ROW(E22)-1)/(COUNT($E$2:$E$112)+1)</f>
        <v>0.1875</v>
      </c>
      <c r="D22" s="5">
        <f>_xlfn.NORM.S.INV(C22)</f>
        <v>-0.88714655901887607</v>
      </c>
      <c r="E22" s="5">
        <v>26</v>
      </c>
      <c r="F22" s="5" t="s">
        <v>19</v>
      </c>
      <c r="G22" s="5" t="s">
        <v>14</v>
      </c>
      <c r="H22" s="5" t="s">
        <v>30</v>
      </c>
      <c r="I22" s="5">
        <f>(ROW(K22)-ROW($K$2)+0.5)/COUNT($K$2:$K$112)</f>
        <v>0.18468468468468469</v>
      </c>
      <c r="J22" s="5">
        <f>_xlfn.NORM.S.INV(I22)</f>
        <v>-0.89765525842446814</v>
      </c>
      <c r="K22" s="6">
        <v>3.2</v>
      </c>
      <c r="L22" s="5" t="s">
        <v>21</v>
      </c>
      <c r="M22" s="5">
        <f>(ROW(O22)-ROW($O$2)+0.5)/COUNT($O$2:$O$112)</f>
        <v>0.18468468468468469</v>
      </c>
      <c r="N22" s="5">
        <f>_xlfn.NORM.S.INV(M22)</f>
        <v>-0.89765525842446814</v>
      </c>
      <c r="O22" s="7">
        <v>45</v>
      </c>
      <c r="P22" s="7">
        <f>(ROW(R22)-ROW($R$2)+0.5)/COUNT($R$2:$R$112)</f>
        <v>0.18468468468468469</v>
      </c>
      <c r="Q22" s="7">
        <f>_xlfn.NORM.S.INV(P22)</f>
        <v>-0.89765525842446814</v>
      </c>
      <c r="R22" s="5">
        <v>8</v>
      </c>
      <c r="S22" s="5">
        <f>(ROW(U22)-ROW($U$2)+0.5)/COUNT($U$2:$U$112)</f>
        <v>0.18468468468468469</v>
      </c>
      <c r="T22" s="5">
        <f>_xlfn.NORM.S.INV(S22)</f>
        <v>-0.89765525842446814</v>
      </c>
      <c r="U22" s="5">
        <v>4</v>
      </c>
      <c r="V22" s="5">
        <f>(ROW(X22)-ROW($X$2)+0.5)/COUNT($T$2:$T$112)</f>
        <v>0.18468468468468469</v>
      </c>
      <c r="W22" s="5">
        <f>_xlfn.NORM.S.INV(V22)</f>
        <v>-0.89765525842446814</v>
      </c>
      <c r="X22" s="5">
        <v>690</v>
      </c>
      <c r="Y22" s="5" t="s">
        <v>17</v>
      </c>
      <c r="Z22" s="5">
        <f>(ROW(AB22)-ROW($AB$2)+0.5)/COUNT($AB$2:$AB$112)</f>
        <v>0.18468468468468469</v>
      </c>
      <c r="AA22" s="5">
        <f>_xlfn.NORM.S.INV(Z22)</f>
        <v>-0.89765525842446814</v>
      </c>
      <c r="AB22" s="5">
        <v>525</v>
      </c>
      <c r="AC22" s="5">
        <f t="shared" si="0"/>
        <v>0.18468468468468469</v>
      </c>
      <c r="AD22" s="5">
        <f t="shared" si="1"/>
        <v>-0.89765525842446814</v>
      </c>
      <c r="AE22" s="7">
        <v>0.8</v>
      </c>
      <c r="AF22" s="5"/>
    </row>
    <row r="23" spans="1:32" x14ac:dyDescent="0.3">
      <c r="A23" s="14">
        <v>34</v>
      </c>
      <c r="B23" s="14" t="s">
        <v>18</v>
      </c>
      <c r="C23" s="5">
        <f>(ROW(E23)-1)/(COUNT($E$2:$E$112)+1)</f>
        <v>0.19642857142857142</v>
      </c>
      <c r="D23" s="5">
        <f>_xlfn.NORM.S.INV(C23)</f>
        <v>-0.85444739869598973</v>
      </c>
      <c r="E23" s="14">
        <v>21</v>
      </c>
      <c r="F23" s="14" t="s">
        <v>19</v>
      </c>
      <c r="G23" s="14" t="s">
        <v>31</v>
      </c>
      <c r="H23" s="14" t="s">
        <v>15</v>
      </c>
      <c r="I23" s="5">
        <f>(ROW(K23)-ROW($K$2)+0.5)/COUNT($K$2:$K$112)</f>
        <v>0.19369369369369369</v>
      </c>
      <c r="J23" s="5">
        <f>_xlfn.NORM.S.INV(I23)</f>
        <v>-0.86436504736313291</v>
      </c>
      <c r="K23" s="15">
        <v>2.57</v>
      </c>
      <c r="L23" s="14" t="s">
        <v>16</v>
      </c>
      <c r="M23" s="5">
        <f>(ROW(O23)-ROW($O$2)+0.5)/COUNT($O$2:$O$112)</f>
        <v>0.19369369369369369</v>
      </c>
      <c r="N23" s="5">
        <f>_xlfn.NORM.S.INV(M23)</f>
        <v>-0.86436504736313291</v>
      </c>
      <c r="O23" s="16">
        <v>45</v>
      </c>
      <c r="P23" s="7">
        <f>(ROW(R23)-ROW($R$2)+0.5)/COUNT($R$2:$R$112)</f>
        <v>0.19369369369369369</v>
      </c>
      <c r="Q23" s="7">
        <f>_xlfn.NORM.S.INV(P23)</f>
        <v>-0.86436504736313291</v>
      </c>
      <c r="R23" s="14">
        <v>5</v>
      </c>
      <c r="S23" s="5">
        <f>(ROW(U23)-ROW($U$2)+0.5)/COUNT($U$2:$U$112)</f>
        <v>0.19369369369369369</v>
      </c>
      <c r="T23" s="5">
        <f>_xlfn.NORM.S.INV(S23)</f>
        <v>-0.86436504736313291</v>
      </c>
      <c r="U23" s="14">
        <v>4</v>
      </c>
      <c r="V23" s="5">
        <f>(ROW(X23)-ROW($X$2)+0.5)/COUNT($T$2:$T$112)</f>
        <v>0.19369369369369369</v>
      </c>
      <c r="W23" s="5">
        <f>_xlfn.NORM.S.INV(V23)</f>
        <v>-0.86436504736313291</v>
      </c>
      <c r="X23" s="14">
        <v>1550</v>
      </c>
      <c r="Y23" s="14" t="s">
        <v>17</v>
      </c>
      <c r="Z23" s="5">
        <f>(ROW(AB23)-ROW($AB$2)+0.5)/COUNT($AB$2:$AB$112)</f>
        <v>0.19369369369369369</v>
      </c>
      <c r="AA23" s="5">
        <f>_xlfn.NORM.S.INV(Z23)</f>
        <v>-0.86436504736313291</v>
      </c>
      <c r="AB23" s="14">
        <v>800</v>
      </c>
      <c r="AC23" s="5">
        <f t="shared" si="0"/>
        <v>0.19369369369369369</v>
      </c>
      <c r="AD23" s="5">
        <f t="shared" si="1"/>
        <v>-0.86436504736313291</v>
      </c>
      <c r="AE23" s="16">
        <v>0.85</v>
      </c>
      <c r="AF23" s="5"/>
    </row>
    <row r="24" spans="1:32" x14ac:dyDescent="0.3">
      <c r="A24" s="5">
        <v>66</v>
      </c>
      <c r="B24" s="5" t="s">
        <v>18</v>
      </c>
      <c r="C24" s="5">
        <f>(ROW(E24)-1)/(COUNT($E$2:$E$112)+1)</f>
        <v>0.20535714285714285</v>
      </c>
      <c r="D24" s="5">
        <f>_xlfn.NORM.S.INV(C24)</f>
        <v>-0.82263729107406769</v>
      </c>
      <c r="E24" s="5">
        <v>22</v>
      </c>
      <c r="F24" s="5" t="s">
        <v>19</v>
      </c>
      <c r="G24" s="5" t="s">
        <v>20</v>
      </c>
      <c r="H24" s="5" t="s">
        <v>30</v>
      </c>
      <c r="I24" s="5">
        <f>(ROW(K24)-ROW($K$2)+0.5)/COUNT($K$2:$K$112)</f>
        <v>0.20270270270270271</v>
      </c>
      <c r="J24" s="5">
        <f>_xlfn.NORM.S.INV(I24)</f>
        <v>-0.83200627001647276</v>
      </c>
      <c r="K24" s="6">
        <v>3.1</v>
      </c>
      <c r="L24" s="5" t="s">
        <v>21</v>
      </c>
      <c r="M24" s="5">
        <f>(ROW(O24)-ROW($O$2)+0.5)/COUNT($O$2:$O$112)</f>
        <v>0.20270270270270271</v>
      </c>
      <c r="N24" s="5">
        <f>_xlfn.NORM.S.INV(M24)</f>
        <v>-0.83200627001647276</v>
      </c>
      <c r="O24" s="7">
        <v>50</v>
      </c>
      <c r="P24" s="7">
        <f>(ROW(R24)-ROW($R$2)+0.5)/COUNT($R$2:$R$112)</f>
        <v>0.20270270270270271</v>
      </c>
      <c r="Q24" s="7">
        <f>_xlfn.NORM.S.INV(P24)</f>
        <v>-0.83200627001647276</v>
      </c>
      <c r="R24" s="5">
        <v>4</v>
      </c>
      <c r="S24" s="5">
        <f>(ROW(U24)-ROW($U$2)+0.5)/COUNT($U$2:$U$112)</f>
        <v>0.20270270270270271</v>
      </c>
      <c r="T24" s="5">
        <f>_xlfn.NORM.S.INV(S24)</f>
        <v>-0.83200627001647276</v>
      </c>
      <c r="U24" s="5">
        <v>4</v>
      </c>
      <c r="V24" s="5">
        <f>(ROW(X24)-ROW($X$2)+0.5)/COUNT($T$2:$T$112)</f>
        <v>0.20270270270270271</v>
      </c>
      <c r="W24" s="5">
        <f>_xlfn.NORM.S.INV(V24)</f>
        <v>-0.83200627001647276</v>
      </c>
      <c r="X24" s="5">
        <v>800</v>
      </c>
      <c r="Y24" s="5" t="s">
        <v>17</v>
      </c>
      <c r="Z24" s="5">
        <f>(ROW(AB24)-ROW($AB$2)+0.5)/COUNT($AB$2:$AB$112)</f>
        <v>0.20270270270270271</v>
      </c>
      <c r="AA24" s="5">
        <f>_xlfn.NORM.S.INV(Z24)</f>
        <v>-0.83200627001647276</v>
      </c>
      <c r="AB24" s="5">
        <v>0</v>
      </c>
      <c r="AC24" s="5">
        <f t="shared" si="0"/>
        <v>0.20270270270270271</v>
      </c>
      <c r="AD24" s="5">
        <f t="shared" si="1"/>
        <v>-0.83200627001647276</v>
      </c>
      <c r="AE24" s="7">
        <v>0.9</v>
      </c>
      <c r="AF24" s="5"/>
    </row>
    <row r="25" spans="1:32" x14ac:dyDescent="0.3">
      <c r="A25" s="5">
        <v>38</v>
      </c>
      <c r="B25" s="5" t="s">
        <v>12</v>
      </c>
      <c r="C25" s="5">
        <f>(ROW(E25)-1)/(COUNT($E$2:$E$112)+1)</f>
        <v>0.21428571428571427</v>
      </c>
      <c r="D25" s="5">
        <f>_xlfn.NORM.S.INV(C25)</f>
        <v>-0.79163860774337469</v>
      </c>
      <c r="E25" s="5">
        <v>21</v>
      </c>
      <c r="F25" s="5" t="s">
        <v>13</v>
      </c>
      <c r="G25" s="5" t="s">
        <v>32</v>
      </c>
      <c r="H25" s="5" t="s">
        <v>15</v>
      </c>
      <c r="I25" s="5">
        <f>(ROW(K25)-ROW($K$2)+0.5)/COUNT($K$2:$K$112)</f>
        <v>0.21171171171171171</v>
      </c>
      <c r="J25" s="5">
        <f>_xlfn.NORM.S.INV(I25)</f>
        <v>-0.80049609797455912</v>
      </c>
      <c r="K25" s="6">
        <v>2.5</v>
      </c>
      <c r="L25" s="5" t="s">
        <v>21</v>
      </c>
      <c r="M25" s="5">
        <f>(ROW(O25)-ROW($O$2)+0.5)/COUNT($O$2:$O$112)</f>
        <v>0.21171171171171171</v>
      </c>
      <c r="N25" s="5">
        <f>_xlfn.NORM.S.INV(M25)</f>
        <v>-0.80049609797455912</v>
      </c>
      <c r="O25" s="7">
        <v>65</v>
      </c>
      <c r="P25" s="7">
        <f>(ROW(R25)-ROW($R$2)+0.5)/COUNT($R$2:$R$112)</f>
        <v>0.21171171171171171</v>
      </c>
      <c r="Q25" s="7">
        <f>_xlfn.NORM.S.INV(P25)</f>
        <v>-0.80049609797455912</v>
      </c>
      <c r="R25" s="5">
        <v>2</v>
      </c>
      <c r="S25" s="5">
        <f>(ROW(U25)-ROW($U$2)+0.5)/COUNT($U$2:$U$112)</f>
        <v>0.21171171171171171</v>
      </c>
      <c r="T25" s="5">
        <f>_xlfn.NORM.S.INV(S25)</f>
        <v>-0.80049609797455912</v>
      </c>
      <c r="U25" s="5">
        <v>3</v>
      </c>
      <c r="V25" s="5">
        <f>(ROW(X25)-ROW($X$2)+0.5)/COUNT($T$2:$T$112)</f>
        <v>0.21171171171171171</v>
      </c>
      <c r="W25" s="5">
        <f>_xlfn.NORM.S.INV(V25)</f>
        <v>-0.80049609797455912</v>
      </c>
      <c r="X25" s="5">
        <v>1000</v>
      </c>
      <c r="Y25" s="5" t="s">
        <v>17</v>
      </c>
      <c r="Z25" s="5">
        <f>(ROW(AB25)-ROW($AB$2)+0.5)/COUNT($AB$2:$AB$112)</f>
        <v>0.21171171171171171</v>
      </c>
      <c r="AA25" s="5">
        <f>_xlfn.NORM.S.INV(Z25)</f>
        <v>-0.80049609797455912</v>
      </c>
      <c r="AB25" s="5">
        <v>600</v>
      </c>
      <c r="AC25" s="5">
        <f t="shared" si="0"/>
        <v>0.21171171171171171</v>
      </c>
      <c r="AD25" s="5">
        <f t="shared" si="1"/>
        <v>-0.80049609797455912</v>
      </c>
      <c r="AE25" s="7">
        <v>0.9</v>
      </c>
      <c r="AF25" s="5"/>
    </row>
    <row r="26" spans="1:32" x14ac:dyDescent="0.3">
      <c r="A26" s="5">
        <v>96</v>
      </c>
      <c r="B26" s="5" t="s">
        <v>18</v>
      </c>
      <c r="C26" s="5">
        <f>(ROW(E26)-1)/(COUNT($E$2:$E$112)+1)</f>
        <v>0.22321428571428573</v>
      </c>
      <c r="D26" s="5">
        <f>_xlfn.NORM.S.INV(C26)</f>
        <v>-0.76138260968642557</v>
      </c>
      <c r="E26" s="5">
        <v>24</v>
      </c>
      <c r="F26" s="5" t="s">
        <v>23</v>
      </c>
      <c r="G26" s="5" t="s">
        <v>28</v>
      </c>
      <c r="H26" s="5" t="s">
        <v>30</v>
      </c>
      <c r="I26" s="5">
        <f>(ROW(K26)-ROW($K$2)+0.5)/COUNT($K$2:$K$112)</f>
        <v>0.22072072072072071</v>
      </c>
      <c r="J26" s="5">
        <f>_xlfn.NORM.S.INV(I26)</f>
        <v>-0.76976139875600935</v>
      </c>
      <c r="K26" s="6">
        <v>2.8</v>
      </c>
      <c r="L26" s="5" t="s">
        <v>21</v>
      </c>
      <c r="M26" s="5">
        <f>(ROW(O26)-ROW($O$2)+0.5)/COUNT($O$2:$O$112)</f>
        <v>0.22072072072072071</v>
      </c>
      <c r="N26" s="5">
        <f>_xlfn.NORM.S.INV(M26)</f>
        <v>-0.76976139875600935</v>
      </c>
      <c r="O26" s="7">
        <v>55</v>
      </c>
      <c r="P26" s="7">
        <f>(ROW(R26)-ROW($R$2)+0.5)/COUNT($R$2:$R$112)</f>
        <v>0.22072072072072071</v>
      </c>
      <c r="Q26" s="7">
        <f>_xlfn.NORM.S.INV(P26)</f>
        <v>-0.76976139875600935</v>
      </c>
      <c r="R26" s="5">
        <v>7</v>
      </c>
      <c r="S26" s="5">
        <f>(ROW(U26)-ROW($U$2)+0.5)/COUNT($U$2:$U$112)</f>
        <v>0.22072072072072071</v>
      </c>
      <c r="T26" s="5">
        <f>_xlfn.NORM.S.INV(S26)</f>
        <v>-0.76976139875600935</v>
      </c>
      <c r="U26" s="5">
        <v>4</v>
      </c>
      <c r="V26" s="5">
        <f>(ROW(X26)-ROW($X$2)+0.5)/COUNT($T$2:$T$112)</f>
        <v>0.22072072072072071</v>
      </c>
      <c r="W26" s="5">
        <f>_xlfn.NORM.S.INV(V26)</f>
        <v>-0.76976139875600935</v>
      </c>
      <c r="X26" s="5">
        <v>650</v>
      </c>
      <c r="Y26" s="5" t="s">
        <v>17</v>
      </c>
      <c r="Z26" s="5">
        <f>(ROW(AB26)-ROW($AB$2)+0.5)/COUNT($AB$2:$AB$112)</f>
        <v>0.22072072072072071</v>
      </c>
      <c r="AA26" s="5">
        <f>_xlfn.NORM.S.INV(Z26)</f>
        <v>-0.76976139875600935</v>
      </c>
      <c r="AB26" s="5">
        <v>0</v>
      </c>
      <c r="AC26" s="5">
        <f t="shared" si="0"/>
        <v>0.22072072072072071</v>
      </c>
      <c r="AD26" s="5">
        <f t="shared" si="1"/>
        <v>-0.76976139875600935</v>
      </c>
      <c r="AE26" s="7">
        <v>1</v>
      </c>
      <c r="AF26" s="5"/>
    </row>
    <row r="27" spans="1:32" x14ac:dyDescent="0.3">
      <c r="A27" s="5">
        <v>73</v>
      </c>
      <c r="B27" s="5" t="s">
        <v>12</v>
      </c>
      <c r="C27" s="5">
        <f>(ROW(E27)-1)/(COUNT($E$2:$E$112)+1)</f>
        <v>0.23214285714285715</v>
      </c>
      <c r="D27" s="5">
        <f>_xlfn.NORM.S.INV(C27)</f>
        <v>-0.73180808385961749</v>
      </c>
      <c r="E27" s="5">
        <v>23</v>
      </c>
      <c r="F27" s="5" t="s">
        <v>23</v>
      </c>
      <c r="G27" s="5" t="s">
        <v>32</v>
      </c>
      <c r="H27" s="5" t="s">
        <v>26</v>
      </c>
      <c r="I27" s="5">
        <f>(ROW(K27)-ROW($K$2)+0.5)/COUNT($K$2:$K$112)</f>
        <v>0.22972972972972974</v>
      </c>
      <c r="J27" s="5">
        <f>_xlfn.NORM.S.INV(I27)</f>
        <v>-0.73973721941388981</v>
      </c>
      <c r="K27" s="6">
        <v>2.4</v>
      </c>
      <c r="L27" s="5" t="s">
        <v>21</v>
      </c>
      <c r="M27" s="5">
        <f>(ROW(O27)-ROW($O$2)+0.5)/COUNT($O$2:$O$112)</f>
        <v>0.22972972972972974</v>
      </c>
      <c r="N27" s="5">
        <f>_xlfn.NORM.S.INV(M27)</f>
        <v>-0.73973721941388981</v>
      </c>
      <c r="O27" s="7">
        <v>60</v>
      </c>
      <c r="P27" s="7">
        <f>(ROW(R27)-ROW($R$2)+0.5)/COUNT($R$2:$R$112)</f>
        <v>0.22972972972972974</v>
      </c>
      <c r="Q27" s="7">
        <f>_xlfn.NORM.S.INV(P27)</f>
        <v>-0.73973721941388981</v>
      </c>
      <c r="R27" s="5">
        <v>8</v>
      </c>
      <c r="S27" s="5">
        <f>(ROW(U27)-ROW($U$2)+0.5)/COUNT($U$2:$U$112)</f>
        <v>0.22972972972972974</v>
      </c>
      <c r="T27" s="5">
        <f>_xlfn.NORM.S.INV(S27)</f>
        <v>-0.73973721941388981</v>
      </c>
      <c r="U27" s="5">
        <v>5</v>
      </c>
      <c r="V27" s="5">
        <f>(ROW(X27)-ROW($X$2)+0.5)/COUNT($T$2:$T$112)</f>
        <v>0.22972972972972974</v>
      </c>
      <c r="W27" s="5">
        <f>_xlfn.NORM.S.INV(V27)</f>
        <v>-0.73973721941388981</v>
      </c>
      <c r="X27" s="5">
        <v>800</v>
      </c>
      <c r="Y27" s="5" t="s">
        <v>17</v>
      </c>
      <c r="Z27" s="5">
        <f>(ROW(AB27)-ROW($AB$2)+0.5)/COUNT($AB$2:$AB$112)</f>
        <v>0.22972972972972974</v>
      </c>
      <c r="AA27" s="5">
        <f>_xlfn.NORM.S.INV(Z27)</f>
        <v>-0.73973721941388981</v>
      </c>
      <c r="AB27" s="5">
        <v>5</v>
      </c>
      <c r="AC27" s="5">
        <f t="shared" si="0"/>
        <v>0.22972972972972974</v>
      </c>
      <c r="AD27" s="5">
        <f t="shared" si="1"/>
        <v>-0.73973721941388981</v>
      </c>
      <c r="AE27" s="7">
        <v>1</v>
      </c>
      <c r="AF27" s="5"/>
    </row>
    <row r="28" spans="1:32" x14ac:dyDescent="0.3">
      <c r="A28" s="5">
        <v>74</v>
      </c>
      <c r="B28" s="5" t="s">
        <v>18</v>
      </c>
      <c r="C28" s="5">
        <f>(ROW(E28)-1)/(COUNT($E$2:$E$112)+1)</f>
        <v>0.24107142857142858</v>
      </c>
      <c r="D28" s="5">
        <f>_xlfn.NORM.S.INV(C28)</f>
        <v>-0.70286023091909866</v>
      </c>
      <c r="E28" s="5">
        <v>23</v>
      </c>
      <c r="F28" s="5" t="s">
        <v>29</v>
      </c>
      <c r="G28" s="5" t="s">
        <v>24</v>
      </c>
      <c r="H28" s="5" t="s">
        <v>26</v>
      </c>
      <c r="I28" s="5">
        <f>(ROW(K28)-ROW($K$2)+0.5)/COUNT($K$2:$K$112)</f>
        <v>0.23873873873873874</v>
      </c>
      <c r="J28" s="5">
        <f>_xlfn.NORM.S.INV(I28)</f>
        <v>-0.71036555491602327</v>
      </c>
      <c r="K28" s="6">
        <v>3.6</v>
      </c>
      <c r="L28" s="5" t="s">
        <v>21</v>
      </c>
      <c r="M28" s="5">
        <f>(ROW(O28)-ROW($O$2)+0.5)/COUNT($O$2:$O$112)</f>
        <v>0.23873873873873874</v>
      </c>
      <c r="N28" s="5">
        <f>_xlfn.NORM.S.INV(M28)</f>
        <v>-0.71036555491602327</v>
      </c>
      <c r="O28" s="7">
        <v>70</v>
      </c>
      <c r="P28" s="7">
        <f>(ROW(R28)-ROW($R$2)+0.5)/COUNT($R$2:$R$112)</f>
        <v>0.23873873873873874</v>
      </c>
      <c r="Q28" s="7">
        <f>_xlfn.NORM.S.INV(P28)</f>
        <v>-0.71036555491602327</v>
      </c>
      <c r="R28" s="5">
        <v>12</v>
      </c>
      <c r="S28" s="5">
        <f>(ROW(U28)-ROW($U$2)+0.5)/COUNT($U$2:$U$112)</f>
        <v>0.23873873873873874</v>
      </c>
      <c r="T28" s="5">
        <f>_xlfn.NORM.S.INV(S28)</f>
        <v>-0.71036555491602327</v>
      </c>
      <c r="U28" s="5">
        <v>6</v>
      </c>
      <c r="V28" s="5">
        <f>(ROW(X28)-ROW($X$2)+0.5)/COUNT($T$2:$T$112)</f>
        <v>0.23873873873873874</v>
      </c>
      <c r="W28" s="5">
        <f>_xlfn.NORM.S.INV(V28)</f>
        <v>-0.71036555491602327</v>
      </c>
      <c r="X28" s="5">
        <v>900</v>
      </c>
      <c r="Y28" s="5" t="s">
        <v>17</v>
      </c>
      <c r="Z28" s="5">
        <f>(ROW(AB28)-ROW($AB$2)+0.5)/COUNT($AB$2:$AB$112)</f>
        <v>0.23873873873873874</v>
      </c>
      <c r="AA28" s="5">
        <f>_xlfn.NORM.S.INV(Z28)</f>
        <v>-0.71036555491602327</v>
      </c>
      <c r="AB28" s="5">
        <v>10</v>
      </c>
      <c r="AC28" s="5">
        <f t="shared" si="0"/>
        <v>0.23873873873873874</v>
      </c>
      <c r="AD28" s="5">
        <f t="shared" si="1"/>
        <v>-0.71036555491602327</v>
      </c>
      <c r="AE28" s="7">
        <v>1</v>
      </c>
      <c r="AF28" s="5"/>
    </row>
    <row r="29" spans="1:32" x14ac:dyDescent="0.3">
      <c r="A29" s="5">
        <v>58</v>
      </c>
      <c r="B29" s="5" t="s">
        <v>12</v>
      </c>
      <c r="C29" s="5">
        <f>(ROW(E29)-1)/(COUNT($E$2:$E$112)+1)</f>
        <v>0.25</v>
      </c>
      <c r="D29" s="5">
        <f>_xlfn.NORM.S.INV(C29)</f>
        <v>-0.67448975019608193</v>
      </c>
      <c r="E29" s="5">
        <v>22</v>
      </c>
      <c r="F29" s="5" t="s">
        <v>19</v>
      </c>
      <c r="G29" s="5" t="s">
        <v>31</v>
      </c>
      <c r="H29" s="5" t="s">
        <v>30</v>
      </c>
      <c r="I29" s="5">
        <f>(ROW(K29)-ROW($K$2)+0.5)/COUNT($K$2:$K$112)</f>
        <v>0.24774774774774774</v>
      </c>
      <c r="J29" s="5">
        <f>_xlfn.NORM.S.INV(I29)</f>
        <v>-0.68159433905286215</v>
      </c>
      <c r="K29" s="6">
        <v>2.4</v>
      </c>
      <c r="L29" s="5" t="s">
        <v>21</v>
      </c>
      <c r="M29" s="5">
        <f>(ROW(O29)-ROW($O$2)+0.5)/COUNT($O$2:$O$112)</f>
        <v>0.24774774774774774</v>
      </c>
      <c r="N29" s="5">
        <f>_xlfn.NORM.S.INV(M29)</f>
        <v>-0.68159433905286215</v>
      </c>
      <c r="O29" s="7">
        <v>45</v>
      </c>
      <c r="P29" s="7">
        <f>(ROW(R29)-ROW($R$2)+0.5)/COUNT($R$2:$R$112)</f>
        <v>0.24774774774774774</v>
      </c>
      <c r="Q29" s="7">
        <f>_xlfn.NORM.S.INV(P29)</f>
        <v>-0.68159433905286215</v>
      </c>
      <c r="R29" s="5">
        <v>4</v>
      </c>
      <c r="S29" s="5">
        <f>(ROW(U29)-ROW($U$2)+0.5)/COUNT($U$2:$U$112)</f>
        <v>0.24774774774774774</v>
      </c>
      <c r="T29" s="5">
        <f>_xlfn.NORM.S.INV(S29)</f>
        <v>-0.68159433905286215</v>
      </c>
      <c r="U29" s="5">
        <v>3</v>
      </c>
      <c r="V29" s="5">
        <f>(ROW(X29)-ROW($X$2)+0.5)/COUNT($T$2:$T$112)</f>
        <v>0.24774774774774774</v>
      </c>
      <c r="W29" s="5">
        <f>_xlfn.NORM.S.INV(V29)</f>
        <v>-0.68159433905286215</v>
      </c>
      <c r="X29" s="5">
        <v>1500</v>
      </c>
      <c r="Y29" s="5" t="s">
        <v>17</v>
      </c>
      <c r="Z29" s="5">
        <f>(ROW(AB29)-ROW($AB$2)+0.5)/COUNT($AB$2:$AB$112)</f>
        <v>0.24774774774774774</v>
      </c>
      <c r="AA29" s="5">
        <f>_xlfn.NORM.S.INV(Z29)</f>
        <v>-0.68159433905286215</v>
      </c>
      <c r="AB29" s="5">
        <v>10</v>
      </c>
      <c r="AC29" s="5">
        <f t="shared" si="0"/>
        <v>0.24774774774774774</v>
      </c>
      <c r="AD29" s="5">
        <f t="shared" si="1"/>
        <v>-0.68159433905286215</v>
      </c>
      <c r="AE29" s="7">
        <v>1</v>
      </c>
      <c r="AF29" s="5"/>
    </row>
    <row r="30" spans="1:32" x14ac:dyDescent="0.3">
      <c r="A30" s="5">
        <v>61</v>
      </c>
      <c r="B30" s="5" t="s">
        <v>12</v>
      </c>
      <c r="C30" s="5">
        <f>(ROW(E30)-1)/(COUNT($E$2:$E$112)+1)</f>
        <v>0.25892857142857145</v>
      </c>
      <c r="D30" s="5">
        <f>_xlfn.NORM.S.INV(C30)</f>
        <v>-0.64665208107854022</v>
      </c>
      <c r="E30" s="5">
        <v>22</v>
      </c>
      <c r="F30" s="5" t="s">
        <v>19</v>
      </c>
      <c r="G30" s="5" t="s">
        <v>32</v>
      </c>
      <c r="H30" s="5" t="s">
        <v>15</v>
      </c>
      <c r="I30" s="5">
        <f>(ROW(K30)-ROW($K$2)+0.5)/COUNT($K$2:$K$112)</f>
        <v>0.25675675675675674</v>
      </c>
      <c r="J30" s="5">
        <f>_xlfn.NORM.S.INV(I30)</f>
        <v>-0.65337661097153532</v>
      </c>
      <c r="K30" s="6">
        <v>3.5</v>
      </c>
      <c r="L30" s="5" t="s">
        <v>21</v>
      </c>
      <c r="M30" s="5">
        <f>(ROW(O30)-ROW($O$2)+0.5)/COUNT($O$2:$O$112)</f>
        <v>0.25675675675675674</v>
      </c>
      <c r="N30" s="5">
        <f>_xlfn.NORM.S.INV(M30)</f>
        <v>-0.65337661097153532</v>
      </c>
      <c r="O30" s="7">
        <v>35</v>
      </c>
      <c r="P30" s="7">
        <f>(ROW(R30)-ROW($R$2)+0.5)/COUNT($R$2:$R$112)</f>
        <v>0.25675675675675674</v>
      </c>
      <c r="Q30" s="7">
        <f>_xlfn.NORM.S.INV(P30)</f>
        <v>-0.65337661097153532</v>
      </c>
      <c r="R30" s="5">
        <v>6</v>
      </c>
      <c r="S30" s="5">
        <f>(ROW(U30)-ROW($U$2)+0.5)/COUNT($U$2:$U$112)</f>
        <v>0.25675675675675674</v>
      </c>
      <c r="T30" s="5">
        <f>_xlfn.NORM.S.INV(S30)</f>
        <v>-0.65337661097153532</v>
      </c>
      <c r="U30" s="5">
        <v>3</v>
      </c>
      <c r="V30" s="5">
        <f>(ROW(X30)-ROW($X$2)+0.5)/COUNT($T$2:$T$112)</f>
        <v>0.25675675675675674</v>
      </c>
      <c r="W30" s="5">
        <f>_xlfn.NORM.S.INV(V30)</f>
        <v>-0.65337661097153532</v>
      </c>
      <c r="X30" s="5">
        <v>990</v>
      </c>
      <c r="Y30" s="5" t="s">
        <v>17</v>
      </c>
      <c r="Z30" s="5">
        <f>(ROW(AB30)-ROW($AB$2)+0.5)/COUNT($AB$2:$AB$112)</f>
        <v>0.25675675675675674</v>
      </c>
      <c r="AA30" s="5">
        <f>_xlfn.NORM.S.INV(Z30)</f>
        <v>-0.65337661097153532</v>
      </c>
      <c r="AB30" s="5">
        <v>50</v>
      </c>
      <c r="AC30" s="5">
        <f t="shared" si="0"/>
        <v>0.25675675675675674</v>
      </c>
      <c r="AD30" s="5">
        <f t="shared" si="1"/>
        <v>-0.65337661097153532</v>
      </c>
      <c r="AE30" s="7">
        <v>1</v>
      </c>
      <c r="AF30" s="5"/>
    </row>
    <row r="31" spans="1:32" x14ac:dyDescent="0.3">
      <c r="A31" s="5">
        <v>39</v>
      </c>
      <c r="B31" s="5" t="s">
        <v>18</v>
      </c>
      <c r="C31" s="5">
        <f>(ROW(E31)-1)/(COUNT($E$2:$E$112)+1)</f>
        <v>0.26785714285714285</v>
      </c>
      <c r="D31" s="5">
        <f>_xlfn.NORM.S.INV(C31)</f>
        <v>-0.61930676950877617</v>
      </c>
      <c r="E31" s="5">
        <v>21</v>
      </c>
      <c r="F31" s="5" t="s">
        <v>29</v>
      </c>
      <c r="G31" s="5" t="s">
        <v>28</v>
      </c>
      <c r="H31" s="5" t="s">
        <v>15</v>
      </c>
      <c r="I31" s="5">
        <f>(ROW(K31)-ROW($K$2)+0.5)/COUNT($K$2:$K$112)</f>
        <v>0.26576576576576577</v>
      </c>
      <c r="J31" s="5">
        <f>_xlfn.NORM.S.INV(I31)</f>
        <v>-0.62566982159467477</v>
      </c>
      <c r="K31" s="6">
        <v>2.75</v>
      </c>
      <c r="L31" s="5" t="s">
        <v>21</v>
      </c>
      <c r="M31" s="5">
        <f>(ROW(O31)-ROW($O$2)+0.5)/COUNT($O$2:$O$112)</f>
        <v>0.26576576576576577</v>
      </c>
      <c r="N31" s="5">
        <f>_xlfn.NORM.S.INV(M31)</f>
        <v>-0.62566982159467477</v>
      </c>
      <c r="O31" s="7">
        <v>55</v>
      </c>
      <c r="P31" s="7">
        <f>(ROW(R31)-ROW($R$2)+0.5)/COUNT($R$2:$R$112)</f>
        <v>0.26576576576576577</v>
      </c>
      <c r="Q31" s="7">
        <f>_xlfn.NORM.S.INV(P31)</f>
        <v>-0.62566982159467477</v>
      </c>
      <c r="R31" s="5">
        <v>7</v>
      </c>
      <c r="S31" s="5">
        <f>(ROW(U31)-ROW($U$2)+0.5)/COUNT($U$2:$U$112)</f>
        <v>0.26576576576576577</v>
      </c>
      <c r="T31" s="5">
        <f>_xlfn.NORM.S.INV(S31)</f>
        <v>-0.62566982159467477</v>
      </c>
      <c r="U31" s="5">
        <v>6</v>
      </c>
      <c r="V31" s="5">
        <f>(ROW(X31)-ROW($X$2)+0.5)/COUNT($T$2:$T$112)</f>
        <v>0.26576576576576577</v>
      </c>
      <c r="W31" s="5">
        <f>_xlfn.NORM.S.INV(V31)</f>
        <v>-0.62566982159467477</v>
      </c>
      <c r="X31" s="5">
        <v>1100</v>
      </c>
      <c r="Y31" s="5" t="s">
        <v>22</v>
      </c>
      <c r="Z31" s="5">
        <f>(ROW(AB31)-ROW($AB$2)+0.5)/COUNT($AB$2:$AB$112)</f>
        <v>0.26576576576576577</v>
      </c>
      <c r="AA31" s="5">
        <f>_xlfn.NORM.S.INV(Z31)</f>
        <v>-0.62566982159467477</v>
      </c>
      <c r="AB31" s="5">
        <v>50</v>
      </c>
      <c r="AC31" s="5">
        <f t="shared" si="0"/>
        <v>0.26576576576576577</v>
      </c>
      <c r="AD31" s="5">
        <f t="shared" si="1"/>
        <v>-0.62566982159467477</v>
      </c>
      <c r="AE31" s="7">
        <v>1</v>
      </c>
      <c r="AF31" s="5"/>
    </row>
    <row r="32" spans="1:32" x14ac:dyDescent="0.3">
      <c r="A32" s="5">
        <v>70</v>
      </c>
      <c r="B32" s="5" t="s">
        <v>18</v>
      </c>
      <c r="C32" s="5">
        <f>(ROW(E32)-1)/(COUNT($E$2:$E$112)+1)</f>
        <v>0.2767857142857143</v>
      </c>
      <c r="D32" s="5">
        <f>_xlfn.NORM.S.INV(C32)</f>
        <v>-0.59241693538223339</v>
      </c>
      <c r="E32" s="5">
        <v>22</v>
      </c>
      <c r="F32" s="5" t="s">
        <v>19</v>
      </c>
      <c r="G32" s="5" t="s">
        <v>28</v>
      </c>
      <c r="H32" s="5" t="s">
        <v>15</v>
      </c>
      <c r="I32" s="5">
        <f>(ROW(K32)-ROW($K$2)+0.5)/COUNT($K$2:$K$112)</f>
        <v>0.2747747747747748</v>
      </c>
      <c r="J32" s="5">
        <f>_xlfn.NORM.S.INV(I32)</f>
        <v>-0.59843525240079998</v>
      </c>
      <c r="K32" s="6">
        <v>3.7</v>
      </c>
      <c r="L32" s="5" t="s">
        <v>21</v>
      </c>
      <c r="M32" s="5">
        <f>(ROW(O32)-ROW($O$2)+0.5)/COUNT($O$2:$O$112)</f>
        <v>0.2747747747747748</v>
      </c>
      <c r="N32" s="5">
        <f>_xlfn.NORM.S.INV(M32)</f>
        <v>-0.59843525240079998</v>
      </c>
      <c r="O32" s="7">
        <v>65</v>
      </c>
      <c r="P32" s="7">
        <f>(ROW(R32)-ROW($R$2)+0.5)/COUNT($R$2:$R$112)</f>
        <v>0.2747747747747748</v>
      </c>
      <c r="Q32" s="7">
        <f>_xlfn.NORM.S.INV(P32)</f>
        <v>-0.59843525240079998</v>
      </c>
      <c r="R32" s="5">
        <v>6</v>
      </c>
      <c r="S32" s="5">
        <f>(ROW(U32)-ROW($U$2)+0.5)/COUNT($U$2:$U$112)</f>
        <v>0.2747747747747748</v>
      </c>
      <c r="T32" s="5">
        <f>_xlfn.NORM.S.INV(S32)</f>
        <v>-0.59843525240079998</v>
      </c>
      <c r="U32" s="5">
        <v>3</v>
      </c>
      <c r="V32" s="5">
        <f>(ROW(X32)-ROW($X$2)+0.5)/COUNT($T$2:$T$112)</f>
        <v>0.2747747747747748</v>
      </c>
      <c r="W32" s="5">
        <f>_xlfn.NORM.S.INV(V32)</f>
        <v>-0.59843525240079998</v>
      </c>
      <c r="X32" s="5">
        <v>800</v>
      </c>
      <c r="Y32" s="5" t="s">
        <v>22</v>
      </c>
      <c r="Z32" s="5">
        <f>(ROW(AB32)-ROW($AB$2)+0.5)/COUNT($AB$2:$AB$112)</f>
        <v>0.2747747747747748</v>
      </c>
      <c r="AA32" s="5">
        <f>_xlfn.NORM.S.INV(Z32)</f>
        <v>-0.59843525240079998</v>
      </c>
      <c r="AB32" s="5">
        <v>60</v>
      </c>
      <c r="AC32" s="5">
        <f t="shared" si="0"/>
        <v>0.2747747747747748</v>
      </c>
      <c r="AD32" s="5">
        <f t="shared" si="1"/>
        <v>-0.59843525240079998</v>
      </c>
      <c r="AE32" s="7">
        <v>1</v>
      </c>
      <c r="AF32" s="5"/>
    </row>
    <row r="33" spans="1:32" x14ac:dyDescent="0.3">
      <c r="A33" s="5">
        <v>63</v>
      </c>
      <c r="B33" s="5" t="s">
        <v>18</v>
      </c>
      <c r="C33" s="5">
        <f>(ROW(E33)-1)/(COUNT($E$2:$E$112)+1)</f>
        <v>0.2857142857142857</v>
      </c>
      <c r="D33" s="5">
        <f>_xlfn.NORM.S.INV(C33)</f>
        <v>-0.56594882193286311</v>
      </c>
      <c r="E33" s="5">
        <v>22</v>
      </c>
      <c r="F33" s="5" t="s">
        <v>29</v>
      </c>
      <c r="G33" s="5" t="s">
        <v>28</v>
      </c>
      <c r="H33" s="5" t="s">
        <v>15</v>
      </c>
      <c r="I33" s="5">
        <f>(ROW(K33)-ROW($K$2)+0.5)/COUNT($K$2:$K$112)</f>
        <v>0.28378378378378377</v>
      </c>
      <c r="J33" s="5">
        <f>_xlfn.NORM.S.INV(I33)</f>
        <v>-0.5716375251650857</v>
      </c>
      <c r="K33" s="6">
        <v>2.7</v>
      </c>
      <c r="L33" s="5" t="s">
        <v>16</v>
      </c>
      <c r="M33" s="5">
        <f>(ROW(O33)-ROW($O$2)+0.5)/COUNT($O$2:$O$112)</f>
        <v>0.28378378378378377</v>
      </c>
      <c r="N33" s="5">
        <f>_xlfn.NORM.S.INV(M33)</f>
        <v>-0.5716375251650857</v>
      </c>
      <c r="O33" s="7">
        <v>70</v>
      </c>
      <c r="P33" s="7">
        <f>(ROW(R33)-ROW($R$2)+0.5)/COUNT($R$2:$R$112)</f>
        <v>0.28378378378378377</v>
      </c>
      <c r="Q33" s="7">
        <f>_xlfn.NORM.S.INV(P33)</f>
        <v>-0.5716375251650857</v>
      </c>
      <c r="R33" s="5">
        <v>6</v>
      </c>
      <c r="S33" s="5">
        <f>(ROW(U33)-ROW($U$2)+0.5)/COUNT($U$2:$U$112)</f>
        <v>0.28378378378378377</v>
      </c>
      <c r="T33" s="5">
        <f>_xlfn.NORM.S.INV(S33)</f>
        <v>-0.5716375251650857</v>
      </c>
      <c r="U33" s="5">
        <v>6</v>
      </c>
      <c r="V33" s="5">
        <f>(ROW(X33)-ROW($X$2)+0.5)/COUNT($T$2:$T$112)</f>
        <v>0.28378378378378377</v>
      </c>
      <c r="W33" s="5">
        <f>_xlfn.NORM.S.INV(V33)</f>
        <v>-0.5716375251650857</v>
      </c>
      <c r="X33" s="5">
        <v>570</v>
      </c>
      <c r="Y33" s="5" t="s">
        <v>25</v>
      </c>
      <c r="Z33" s="5">
        <f>(ROW(AB33)-ROW($AB$2)+0.5)/COUNT($AB$2:$AB$112)</f>
        <v>0.28378378378378377</v>
      </c>
      <c r="AA33" s="5">
        <f>_xlfn.NORM.S.INV(Z33)</f>
        <v>-0.5716375251650857</v>
      </c>
      <c r="AB33" s="5">
        <v>100</v>
      </c>
      <c r="AC33" s="5">
        <f t="shared" si="0"/>
        <v>0.28378378378378377</v>
      </c>
      <c r="AD33" s="5">
        <f t="shared" si="1"/>
        <v>-0.5716375251650857</v>
      </c>
      <c r="AE33" s="7">
        <v>1</v>
      </c>
      <c r="AF33" s="5"/>
    </row>
    <row r="34" spans="1:32" x14ac:dyDescent="0.3">
      <c r="A34" s="5">
        <v>10</v>
      </c>
      <c r="B34" s="5" t="s">
        <v>12</v>
      </c>
      <c r="C34" s="5">
        <f>(ROW(E34)-1)/(COUNT($E$2:$E$112)+1)</f>
        <v>0.29464285714285715</v>
      </c>
      <c r="D34" s="5">
        <f>_xlfn.NORM.S.INV(C34)</f>
        <v>-0.53987141220106138</v>
      </c>
      <c r="E34" s="5">
        <v>19</v>
      </c>
      <c r="F34" s="5" t="s">
        <v>19</v>
      </c>
      <c r="G34" s="5" t="s">
        <v>28</v>
      </c>
      <c r="H34" s="5" t="s">
        <v>26</v>
      </c>
      <c r="I34" s="5">
        <f>(ROW(K34)-ROW($K$2)+0.5)/COUNT($K$2:$K$112)</f>
        <v>0.2927927927927928</v>
      </c>
      <c r="J34" s="5">
        <f>_xlfn.NORM.S.INV(I34)</f>
        <v>-0.54524418586888423</v>
      </c>
      <c r="K34" s="6">
        <v>3.3</v>
      </c>
      <c r="L34" s="5" t="s">
        <v>21</v>
      </c>
      <c r="M34" s="5">
        <f>(ROW(O34)-ROW($O$2)+0.5)/COUNT($O$2:$O$112)</f>
        <v>0.2927927927927928</v>
      </c>
      <c r="N34" s="5">
        <f>_xlfn.NORM.S.INV(M34)</f>
        <v>-0.54524418586888423</v>
      </c>
      <c r="O34" s="7">
        <v>42.5</v>
      </c>
      <c r="P34" s="7">
        <f>(ROW(R34)-ROW($R$2)+0.5)/COUNT($R$2:$R$112)</f>
        <v>0.2927927927927928</v>
      </c>
      <c r="Q34" s="7">
        <f>_xlfn.NORM.S.INV(P34)</f>
        <v>-0.54524418586888423</v>
      </c>
      <c r="R34" s="5">
        <v>11</v>
      </c>
      <c r="S34" s="5">
        <f>(ROW(U34)-ROW($U$2)+0.5)/COUNT($U$2:$U$112)</f>
        <v>0.2927927927927928</v>
      </c>
      <c r="T34" s="5">
        <f>_xlfn.NORM.S.INV(S34)</f>
        <v>-0.54524418586888423</v>
      </c>
      <c r="U34" s="5">
        <v>4</v>
      </c>
      <c r="V34" s="5">
        <f>(ROW(X34)-ROW($X$2)+0.5)/COUNT($T$2:$T$112)</f>
        <v>0.2927927927927928</v>
      </c>
      <c r="W34" s="5">
        <f>_xlfn.NORM.S.INV(V34)</f>
        <v>-0.54524418586888423</v>
      </c>
      <c r="X34" s="5">
        <v>700</v>
      </c>
      <c r="Y34" s="5" t="s">
        <v>17</v>
      </c>
      <c r="Z34" s="5">
        <f>(ROW(AB34)-ROW($AB$2)+0.5)/COUNT($AB$2:$AB$112)</f>
        <v>0.2927927927927928</v>
      </c>
      <c r="AA34" s="5">
        <f>_xlfn.NORM.S.INV(Z34)</f>
        <v>-0.54524418586888423</v>
      </c>
      <c r="AB34" s="5">
        <v>100</v>
      </c>
      <c r="AC34" s="5">
        <f t="shared" si="0"/>
        <v>0.2927927927927928</v>
      </c>
      <c r="AD34" s="5">
        <f t="shared" si="1"/>
        <v>-0.54524418586888423</v>
      </c>
      <c r="AE34" s="7">
        <v>1</v>
      </c>
      <c r="AF34" s="5"/>
    </row>
    <row r="35" spans="1:32" x14ac:dyDescent="0.3">
      <c r="A35" s="5">
        <v>68</v>
      </c>
      <c r="B35" s="5" t="s">
        <v>12</v>
      </c>
      <c r="C35" s="5">
        <f>(ROW(E35)-1)/(COUNT($E$2:$E$112)+1)</f>
        <v>0.30357142857142855</v>
      </c>
      <c r="D35" s="5">
        <f>_xlfn.NORM.S.INV(C35)</f>
        <v>-0.51415610074453411</v>
      </c>
      <c r="E35" s="5">
        <v>22</v>
      </c>
      <c r="F35" s="5" t="s">
        <v>19</v>
      </c>
      <c r="G35" s="5" t="s">
        <v>32</v>
      </c>
      <c r="H35" s="5" t="s">
        <v>30</v>
      </c>
      <c r="I35" s="5">
        <f>(ROW(K35)-ROW($K$2)+0.5)/COUNT($K$2:$K$112)</f>
        <v>0.30180180180180183</v>
      </c>
      <c r="J35" s="5">
        <f>_xlfn.NORM.S.INV(I35)</f>
        <v>-0.51922534949168586</v>
      </c>
      <c r="K35" s="6">
        <v>3.2</v>
      </c>
      <c r="L35" s="5" t="s">
        <v>21</v>
      </c>
      <c r="M35" s="5">
        <f>(ROW(O35)-ROW($O$2)+0.5)/COUNT($O$2:$O$112)</f>
        <v>0.30180180180180183</v>
      </c>
      <c r="N35" s="5">
        <f>_xlfn.NORM.S.INV(M35)</f>
        <v>-0.51922534949168586</v>
      </c>
      <c r="O35" s="7">
        <v>60</v>
      </c>
      <c r="P35" s="7">
        <f>(ROW(R35)-ROW($R$2)+0.5)/COUNT($R$2:$R$112)</f>
        <v>0.30180180180180183</v>
      </c>
      <c r="Q35" s="7">
        <f>_xlfn.NORM.S.INV(P35)</f>
        <v>-0.51922534949168586</v>
      </c>
      <c r="R35" s="5">
        <v>4</v>
      </c>
      <c r="S35" s="5">
        <f>(ROW(U35)-ROW($U$2)+0.5)/COUNT($U$2:$U$112)</f>
        <v>0.30180180180180183</v>
      </c>
      <c r="T35" s="5">
        <f>_xlfn.NORM.S.INV(S35)</f>
        <v>-0.51922534949168586</v>
      </c>
      <c r="U35" s="5">
        <v>5</v>
      </c>
      <c r="V35" s="5">
        <f>(ROW(X35)-ROW($X$2)+0.5)/COUNT($T$2:$T$112)</f>
        <v>0.30180180180180183</v>
      </c>
      <c r="W35" s="5">
        <f>_xlfn.NORM.S.INV(V35)</f>
        <v>-0.51922534949168586</v>
      </c>
      <c r="X35" s="5">
        <v>800</v>
      </c>
      <c r="Y35" s="5" t="s">
        <v>17</v>
      </c>
      <c r="Z35" s="5">
        <f>(ROW(AB35)-ROW($AB$2)+0.5)/COUNT($AB$2:$AB$112)</f>
        <v>0.30180180180180183</v>
      </c>
      <c r="AA35" s="5">
        <f>_xlfn.NORM.S.INV(Z35)</f>
        <v>-0.51922534949168586</v>
      </c>
      <c r="AB35" s="5">
        <v>100</v>
      </c>
      <c r="AC35" s="5">
        <f t="shared" si="0"/>
        <v>0.30180180180180183</v>
      </c>
      <c r="AD35" s="5">
        <f t="shared" si="1"/>
        <v>-0.51922534949168586</v>
      </c>
      <c r="AE35" s="7">
        <v>1</v>
      </c>
      <c r="AF35" s="5"/>
    </row>
    <row r="36" spans="1:32" x14ac:dyDescent="0.3">
      <c r="A36" s="14">
        <v>40</v>
      </c>
      <c r="B36" s="14" t="s">
        <v>18</v>
      </c>
      <c r="C36" s="5">
        <f>(ROW(E36)-1)/(COUNT($E$2:$E$112)+1)</f>
        <v>0.3125</v>
      </c>
      <c r="D36" s="5">
        <f>_xlfn.NORM.S.INV(C36)</f>
        <v>-0.48877641111466941</v>
      </c>
      <c r="E36" s="14">
        <v>21</v>
      </c>
      <c r="F36" s="14" t="s">
        <v>23</v>
      </c>
      <c r="G36" s="14" t="s">
        <v>31</v>
      </c>
      <c r="H36" s="14" t="s">
        <v>15</v>
      </c>
      <c r="I36" s="5">
        <f>(ROW(K36)-ROW($K$2)+0.5)/COUNT($K$2:$K$112)</f>
        <v>0.3108108108108108</v>
      </c>
      <c r="J36" s="5">
        <f>_xlfn.NORM.S.INV(I36)</f>
        <v>-0.4935533950895456</v>
      </c>
      <c r="K36" s="15">
        <v>2.5</v>
      </c>
      <c r="L36" s="14" t="s">
        <v>27</v>
      </c>
      <c r="M36" s="5">
        <f>(ROW(O36)-ROW($O$2)+0.5)/COUNT($O$2:$O$112)</f>
        <v>0.3108108108108108</v>
      </c>
      <c r="N36" s="5">
        <f>_xlfn.NORM.S.INV(M36)</f>
        <v>-0.4935533950895456</v>
      </c>
      <c r="O36" s="16">
        <v>55</v>
      </c>
      <c r="P36" s="7">
        <f>(ROW(R36)-ROW($R$2)+0.5)/COUNT($R$2:$R$112)</f>
        <v>0.3108108108108108</v>
      </c>
      <c r="Q36" s="7">
        <f>_xlfn.NORM.S.INV(P36)</f>
        <v>-0.4935533950895456</v>
      </c>
      <c r="R36" s="14">
        <v>15</v>
      </c>
      <c r="S36" s="5">
        <f>(ROW(U36)-ROW($U$2)+0.5)/COUNT($U$2:$U$112)</f>
        <v>0.3108108108108108</v>
      </c>
      <c r="T36" s="5">
        <f>_xlfn.NORM.S.INV(S36)</f>
        <v>-0.4935533950895456</v>
      </c>
      <c r="U36" s="14">
        <v>5</v>
      </c>
      <c r="V36" s="5">
        <f>(ROW(X36)-ROW($X$2)+0.5)/COUNT($T$2:$T$112)</f>
        <v>0.3108108108108108</v>
      </c>
      <c r="W36" s="5">
        <f>_xlfn.NORM.S.INV(V36)</f>
        <v>-0.4935533950895456</v>
      </c>
      <c r="X36" s="14">
        <v>800</v>
      </c>
      <c r="Y36" s="14" t="s">
        <v>17</v>
      </c>
      <c r="Z36" s="5">
        <f>(ROW(AB36)-ROW($AB$2)+0.5)/COUNT($AB$2:$AB$112)</f>
        <v>0.3108108108108108</v>
      </c>
      <c r="AA36" s="5">
        <f>_xlfn.NORM.S.INV(Z36)</f>
        <v>-0.4935533950895456</v>
      </c>
      <c r="AB36" s="14">
        <v>100</v>
      </c>
      <c r="AC36" s="5">
        <f t="shared" si="0"/>
        <v>0.3108108108108108</v>
      </c>
      <c r="AD36" s="5">
        <f t="shared" si="1"/>
        <v>-0.4935533950895456</v>
      </c>
      <c r="AE36" s="16">
        <v>1</v>
      </c>
      <c r="AF36" s="5"/>
    </row>
    <row r="37" spans="1:32" x14ac:dyDescent="0.3">
      <c r="A37" s="5">
        <v>5</v>
      </c>
      <c r="B37" s="5" t="s">
        <v>18</v>
      </c>
      <c r="C37" s="5">
        <f>(ROW(E37)-1)/(COUNT($E$2:$E$112)+1)</f>
        <v>0.32142857142857145</v>
      </c>
      <c r="D37" s="5">
        <f>_xlfn.NORM.S.INV(C37)</f>
        <v>-0.46370775145717902</v>
      </c>
      <c r="E37" s="5">
        <v>19</v>
      </c>
      <c r="F37" s="5" t="s">
        <v>19</v>
      </c>
      <c r="G37" s="5" t="s">
        <v>14</v>
      </c>
      <c r="H37" s="5" t="s">
        <v>26</v>
      </c>
      <c r="I37" s="5">
        <f>(ROW(K37)-ROW($K$2)+0.5)/COUNT($K$2:$K$112)</f>
        <v>0.31981981981981983</v>
      </c>
      <c r="J37" s="5">
        <f>_xlfn.NORM.S.INV(I37)</f>
        <v>-0.46820270264667324</v>
      </c>
      <c r="K37" s="6">
        <v>2.8</v>
      </c>
      <c r="L37" s="5" t="s">
        <v>27</v>
      </c>
      <c r="M37" s="5">
        <f>(ROW(O37)-ROW($O$2)+0.5)/COUNT($O$2:$O$112)</f>
        <v>0.31981981981981983</v>
      </c>
      <c r="N37" s="5">
        <f>_xlfn.NORM.S.INV(M37)</f>
        <v>-0.46820270264667324</v>
      </c>
      <c r="O37" s="7">
        <v>45</v>
      </c>
      <c r="P37" s="7">
        <f>(ROW(R37)-ROW($R$2)+0.5)/COUNT($R$2:$R$112)</f>
        <v>0.31981981981981983</v>
      </c>
      <c r="Q37" s="7">
        <f>_xlfn.NORM.S.INV(P37)</f>
        <v>-0.46820270264667324</v>
      </c>
      <c r="R37" s="5">
        <v>7</v>
      </c>
      <c r="S37" s="5">
        <f>(ROW(U37)-ROW($U$2)+0.5)/COUNT($U$2:$U$112)</f>
        <v>0.31981981981981983</v>
      </c>
      <c r="T37" s="5">
        <f>_xlfn.NORM.S.INV(S37)</f>
        <v>-0.46820270264667324</v>
      </c>
      <c r="U37" s="5">
        <v>4</v>
      </c>
      <c r="V37" s="5">
        <f>(ROW(X37)-ROW($X$2)+0.5)/COUNT($T$2:$T$112)</f>
        <v>0.31981981981981983</v>
      </c>
      <c r="W37" s="5">
        <f>_xlfn.NORM.S.INV(V37)</f>
        <v>-0.46820270264667324</v>
      </c>
      <c r="X37" s="5">
        <v>1000</v>
      </c>
      <c r="Y37" s="5" t="s">
        <v>17</v>
      </c>
      <c r="Z37" s="5">
        <f>(ROW(AB37)-ROW($AB$2)+0.5)/COUNT($AB$2:$AB$112)</f>
        <v>0.31981981981981983</v>
      </c>
      <c r="AA37" s="5">
        <f>_xlfn.NORM.S.INV(Z37)</f>
        <v>-0.46820270264667324</v>
      </c>
      <c r="AB37" s="5">
        <v>100</v>
      </c>
      <c r="AC37" s="5">
        <f t="shared" si="0"/>
        <v>0.31981981981981983</v>
      </c>
      <c r="AD37" s="5">
        <f t="shared" si="1"/>
        <v>-0.46820270264667324</v>
      </c>
      <c r="AE37" s="7">
        <v>1</v>
      </c>
      <c r="AF37" s="5"/>
    </row>
    <row r="38" spans="1:32" x14ac:dyDescent="0.3">
      <c r="A38" s="5">
        <v>51</v>
      </c>
      <c r="B38" s="5" t="s">
        <v>12</v>
      </c>
      <c r="C38" s="5">
        <f>(ROW(E38)-1)/(COUNT($E$2:$E$112)+1)</f>
        <v>0.33035714285714285</v>
      </c>
      <c r="D38" s="5">
        <f>_xlfn.NORM.S.INV(C38)</f>
        <v>-0.43892720203419638</v>
      </c>
      <c r="E38" s="5">
        <v>21</v>
      </c>
      <c r="F38" s="5" t="s">
        <v>29</v>
      </c>
      <c r="G38" s="5" t="s">
        <v>20</v>
      </c>
      <c r="H38" s="5" t="s">
        <v>30</v>
      </c>
      <c r="I38" s="5">
        <f>(ROW(K38)-ROW($K$2)+0.5)/COUNT($K$2:$K$112)</f>
        <v>0.32882882882882886</v>
      </c>
      <c r="J38" s="5">
        <f>_xlfn.NORM.S.INV(I38)</f>
        <v>-0.4431494248121573</v>
      </c>
      <c r="K38" s="6">
        <v>3.5</v>
      </c>
      <c r="L38" s="5" t="s">
        <v>27</v>
      </c>
      <c r="M38" s="5">
        <f>(ROW(O38)-ROW($O$2)+0.5)/COUNT($O$2:$O$112)</f>
        <v>0.32882882882882886</v>
      </c>
      <c r="N38" s="5">
        <f>_xlfn.NORM.S.INV(M38)</f>
        <v>-0.4431494248121573</v>
      </c>
      <c r="O38" s="7">
        <v>40</v>
      </c>
      <c r="P38" s="7">
        <f>(ROW(R38)-ROW($R$2)+0.5)/COUNT($R$2:$R$112)</f>
        <v>0.32882882882882886</v>
      </c>
      <c r="Q38" s="7">
        <f>_xlfn.NORM.S.INV(P38)</f>
        <v>-0.4431494248121573</v>
      </c>
      <c r="R38" s="5">
        <v>1</v>
      </c>
      <c r="S38" s="5">
        <f>(ROW(U38)-ROW($U$2)+0.5)/COUNT($U$2:$U$112)</f>
        <v>0.32882882882882886</v>
      </c>
      <c r="T38" s="5">
        <f>_xlfn.NORM.S.INV(S38)</f>
        <v>-0.4431494248121573</v>
      </c>
      <c r="U38" s="5">
        <v>4</v>
      </c>
      <c r="V38" s="5">
        <f>(ROW(X38)-ROW($X$2)+0.5)/COUNT($T$2:$T$112)</f>
        <v>0.32882882882882886</v>
      </c>
      <c r="W38" s="5">
        <f>_xlfn.NORM.S.INV(V38)</f>
        <v>-0.4431494248121573</v>
      </c>
      <c r="X38" s="5">
        <v>1100</v>
      </c>
      <c r="Y38" s="5" t="s">
        <v>25</v>
      </c>
      <c r="Z38" s="5">
        <f>(ROW(AB38)-ROW($AB$2)+0.5)/COUNT($AB$2:$AB$112)</f>
        <v>0.32882882882882886</v>
      </c>
      <c r="AA38" s="5">
        <f>_xlfn.NORM.S.INV(Z38)</f>
        <v>-0.4431494248121573</v>
      </c>
      <c r="AB38" s="5">
        <v>100</v>
      </c>
      <c r="AC38" s="5">
        <f t="shared" si="0"/>
        <v>0.32882882882882886</v>
      </c>
      <c r="AD38" s="5">
        <f t="shared" si="1"/>
        <v>-0.4431494248121573</v>
      </c>
      <c r="AE38" s="7">
        <v>1</v>
      </c>
      <c r="AF38" s="5"/>
    </row>
    <row r="39" spans="1:32" x14ac:dyDescent="0.3">
      <c r="A39" s="5">
        <v>28</v>
      </c>
      <c r="B39" s="5" t="s">
        <v>12</v>
      </c>
      <c r="C39" s="5">
        <f>(ROW(E39)-1)/(COUNT($E$2:$E$112)+1)</f>
        <v>0.3392857142857143</v>
      </c>
      <c r="D39" s="5">
        <f>_xlfn.NORM.S.INV(C39)</f>
        <v>-0.41441332960007643</v>
      </c>
      <c r="E39" s="5">
        <v>20</v>
      </c>
      <c r="F39" s="5" t="s">
        <v>23</v>
      </c>
      <c r="G39" s="5" t="s">
        <v>31</v>
      </c>
      <c r="H39" s="5" t="s">
        <v>15</v>
      </c>
      <c r="I39" s="5">
        <f>(ROW(K39)-ROW($K$2)+0.5)/COUNT($K$2:$K$112)</f>
        <v>0.33783783783783783</v>
      </c>
      <c r="J39" s="5">
        <f>_xlfn.NORM.S.INV(I39)</f>
        <v>-0.41837128791165434</v>
      </c>
      <c r="K39" s="6">
        <v>2.9</v>
      </c>
      <c r="L39" s="5" t="s">
        <v>21</v>
      </c>
      <c r="M39" s="5">
        <f>(ROW(O39)-ROW($O$2)+0.5)/COUNT($O$2:$O$112)</f>
        <v>0.33783783783783783</v>
      </c>
      <c r="N39" s="5">
        <f>_xlfn.NORM.S.INV(M39)</f>
        <v>-0.41837128791165434</v>
      </c>
      <c r="O39" s="7">
        <v>55</v>
      </c>
      <c r="P39" s="7">
        <f>(ROW(R39)-ROW($R$2)+0.5)/COUNT($R$2:$R$112)</f>
        <v>0.33783783783783783</v>
      </c>
      <c r="Q39" s="7">
        <f>_xlfn.NORM.S.INV(P39)</f>
        <v>-0.41837128791165434</v>
      </c>
      <c r="R39" s="5">
        <v>13</v>
      </c>
      <c r="S39" s="5">
        <f>(ROW(U39)-ROW($U$2)+0.5)/COUNT($U$2:$U$112)</f>
        <v>0.33783783783783783</v>
      </c>
      <c r="T39" s="5">
        <f>_xlfn.NORM.S.INV(S39)</f>
        <v>-0.41837128791165434</v>
      </c>
      <c r="U39" s="5">
        <v>1</v>
      </c>
      <c r="V39" s="5">
        <f>(ROW(X39)-ROW($X$2)+0.5)/COUNT($T$2:$T$112)</f>
        <v>0.33783783783783783</v>
      </c>
      <c r="W39" s="5">
        <f>_xlfn.NORM.S.INV(V39)</f>
        <v>-0.41837128791165434</v>
      </c>
      <c r="X39" s="5">
        <v>1400</v>
      </c>
      <c r="Y39" s="5" t="s">
        <v>17</v>
      </c>
      <c r="Z39" s="5">
        <f>(ROW(AB39)-ROW($AB$2)+0.5)/COUNT($AB$2:$AB$112)</f>
        <v>0.33783783783783783</v>
      </c>
      <c r="AA39" s="5">
        <f>_xlfn.NORM.S.INV(Z39)</f>
        <v>-0.41837128791165434</v>
      </c>
      <c r="AB39" s="5">
        <v>100</v>
      </c>
      <c r="AC39" s="5">
        <f t="shared" si="0"/>
        <v>0.33783783783783783</v>
      </c>
      <c r="AD39" s="5">
        <f t="shared" si="1"/>
        <v>-0.41837128791165434</v>
      </c>
      <c r="AE39" s="7">
        <v>1</v>
      </c>
      <c r="AF39" s="5"/>
    </row>
    <row r="40" spans="1:32" x14ac:dyDescent="0.3">
      <c r="A40" s="5">
        <v>49</v>
      </c>
      <c r="B40" s="5" t="s">
        <v>12</v>
      </c>
      <c r="C40" s="5">
        <f>(ROW(E40)-1)/(COUNT($E$2:$E$112)+1)</f>
        <v>0.3482142857142857</v>
      </c>
      <c r="D40" s="5">
        <f>_xlfn.NORM.S.INV(C40)</f>
        <v>-0.39014602446488944</v>
      </c>
      <c r="E40" s="5">
        <v>21</v>
      </c>
      <c r="F40" s="5" t="s">
        <v>19</v>
      </c>
      <c r="G40" s="5" t="s">
        <v>28</v>
      </c>
      <c r="H40" s="5" t="s">
        <v>15</v>
      </c>
      <c r="I40" s="5">
        <f>(ROW(K40)-ROW($K$2)+0.5)/COUNT($K$2:$K$112)</f>
        <v>0.34684684684684686</v>
      </c>
      <c r="J40" s="5">
        <f>_xlfn.NORM.S.INV(I40)</f>
        <v>-0.39384741763566572</v>
      </c>
      <c r="K40" s="6">
        <v>3.2</v>
      </c>
      <c r="L40" s="5" t="s">
        <v>21</v>
      </c>
      <c r="M40" s="5">
        <f>(ROW(O40)-ROW($O$2)+0.5)/COUNT($O$2:$O$112)</f>
        <v>0.34684684684684686</v>
      </c>
      <c r="N40" s="5">
        <f>_xlfn.NORM.S.INV(M40)</f>
        <v>-0.39384741763566572</v>
      </c>
      <c r="O40" s="7">
        <v>52.5</v>
      </c>
      <c r="P40" s="7">
        <f>(ROW(R40)-ROW($R$2)+0.5)/COUNT($R$2:$R$112)</f>
        <v>0.34684684684684686</v>
      </c>
      <c r="Q40" s="7">
        <f>_xlfn.NORM.S.INV(P40)</f>
        <v>-0.39384741763566572</v>
      </c>
      <c r="R40" s="5">
        <v>2</v>
      </c>
      <c r="S40" s="5">
        <f>(ROW(U40)-ROW($U$2)+0.5)/COUNT($U$2:$U$112)</f>
        <v>0.34684684684684686</v>
      </c>
      <c r="T40" s="5">
        <f>_xlfn.NORM.S.INV(S40)</f>
        <v>-0.39384741763566572</v>
      </c>
      <c r="U40" s="5">
        <v>4</v>
      </c>
      <c r="V40" s="5">
        <f>(ROW(X40)-ROW($X$2)+0.5)/COUNT($T$2:$T$112)</f>
        <v>0.34684684684684686</v>
      </c>
      <c r="W40" s="5">
        <f>_xlfn.NORM.S.INV(V40)</f>
        <v>-0.39384741763566572</v>
      </c>
      <c r="X40" s="5">
        <v>720</v>
      </c>
      <c r="Y40" s="5" t="s">
        <v>17</v>
      </c>
      <c r="Z40" s="5">
        <f>(ROW(AB40)-ROW($AB$2)+0.5)/COUNT($AB$2:$AB$112)</f>
        <v>0.34684684684684686</v>
      </c>
      <c r="AA40" s="5">
        <f>_xlfn.NORM.S.INV(Z40)</f>
        <v>-0.39384741763566572</v>
      </c>
      <c r="AB40" s="5">
        <v>105</v>
      </c>
      <c r="AC40" s="5">
        <f t="shared" si="0"/>
        <v>0.34684684684684686</v>
      </c>
      <c r="AD40" s="5">
        <f t="shared" si="1"/>
        <v>-0.39384741763566572</v>
      </c>
      <c r="AE40" s="7">
        <v>1</v>
      </c>
      <c r="AF40" s="5"/>
    </row>
    <row r="41" spans="1:32" x14ac:dyDescent="0.3">
      <c r="A41" s="5">
        <v>46</v>
      </c>
      <c r="B41" s="5" t="s">
        <v>12</v>
      </c>
      <c r="C41" s="5">
        <f>(ROW(E41)-1)/(COUNT($E$2:$E$112)+1)</f>
        <v>0.35714285714285715</v>
      </c>
      <c r="D41" s="5">
        <f>_xlfn.NORM.S.INV(C41)</f>
        <v>-0.36610635680056969</v>
      </c>
      <c r="E41" s="5">
        <v>21</v>
      </c>
      <c r="F41" s="5" t="s">
        <v>19</v>
      </c>
      <c r="G41" s="5" t="s">
        <v>20</v>
      </c>
      <c r="H41" s="5" t="s">
        <v>26</v>
      </c>
      <c r="I41" s="5">
        <f>(ROW(K41)-ROW($K$2)+0.5)/COUNT($K$2:$K$112)</f>
        <v>0.35585585585585583</v>
      </c>
      <c r="J41" s="5">
        <f>_xlfn.NORM.S.INV(I41)</f>
        <v>-0.36955818561240211</v>
      </c>
      <c r="K41" s="6">
        <v>3.82</v>
      </c>
      <c r="L41" s="5" t="s">
        <v>21</v>
      </c>
      <c r="M41" s="5">
        <f>(ROW(O41)-ROW($O$2)+0.5)/COUNT($O$2:$O$112)</f>
        <v>0.35585585585585583</v>
      </c>
      <c r="N41" s="5">
        <f>_xlfn.NORM.S.INV(M41)</f>
        <v>-0.36955818561240211</v>
      </c>
      <c r="O41" s="7">
        <v>65</v>
      </c>
      <c r="P41" s="7">
        <f>(ROW(R41)-ROW($R$2)+0.5)/COUNT($R$2:$R$112)</f>
        <v>0.35585585585585583</v>
      </c>
      <c r="Q41" s="7">
        <f>_xlfn.NORM.S.INV(P41)</f>
        <v>-0.36955818561240211</v>
      </c>
      <c r="R41" s="5">
        <v>1</v>
      </c>
      <c r="S41" s="5">
        <f>(ROW(U41)-ROW($U$2)+0.5)/COUNT($U$2:$U$112)</f>
        <v>0.35585585585585583</v>
      </c>
      <c r="T41" s="5">
        <f>_xlfn.NORM.S.INV(S41)</f>
        <v>-0.36955818561240211</v>
      </c>
      <c r="U41" s="5">
        <v>4</v>
      </c>
      <c r="V41" s="5">
        <f>(ROW(X41)-ROW($X$2)+0.5)/COUNT($T$2:$T$112)</f>
        <v>0.35585585585585583</v>
      </c>
      <c r="W41" s="5">
        <f>_xlfn.NORM.S.INV(V41)</f>
        <v>-0.36955818561240211</v>
      </c>
      <c r="X41" s="5">
        <v>1150</v>
      </c>
      <c r="Y41" s="5" t="s">
        <v>17</v>
      </c>
      <c r="Z41" s="5">
        <f>(ROW(AB41)-ROW($AB$2)+0.5)/COUNT($AB$2:$AB$112)</f>
        <v>0.35585585585585583</v>
      </c>
      <c r="AA41" s="5">
        <f>_xlfn.NORM.S.INV(Z41)</f>
        <v>-0.36955818561240211</v>
      </c>
      <c r="AB41" s="5">
        <v>150</v>
      </c>
      <c r="AC41" s="5">
        <f t="shared" si="0"/>
        <v>0.35585585585585583</v>
      </c>
      <c r="AD41" s="5">
        <f t="shared" si="1"/>
        <v>-0.36955818561240211</v>
      </c>
      <c r="AE41" s="7">
        <v>1</v>
      </c>
      <c r="AF41" s="5"/>
    </row>
    <row r="42" spans="1:32" x14ac:dyDescent="0.3">
      <c r="A42" s="14">
        <v>8</v>
      </c>
      <c r="B42" s="14" t="s">
        <v>12</v>
      </c>
      <c r="C42" s="5">
        <f>(ROW(E42)-1)/(COUNT($E$2:$E$112)+1)</f>
        <v>0.36607142857142855</v>
      </c>
      <c r="D42" s="5">
        <f>_xlfn.NORM.S.INV(C42)</f>
        <v>-0.34227644932452284</v>
      </c>
      <c r="E42" s="14">
        <v>19</v>
      </c>
      <c r="F42" s="14" t="s">
        <v>19</v>
      </c>
      <c r="G42" s="14" t="s">
        <v>14</v>
      </c>
      <c r="H42" s="14" t="s">
        <v>26</v>
      </c>
      <c r="I42" s="5">
        <f>(ROW(K42)-ROW($K$2)+0.5)/COUNT($K$2:$K$112)</f>
        <v>0.36486486486486486</v>
      </c>
      <c r="J42" s="5">
        <f>_xlfn.NORM.S.INV(I42)</f>
        <v>-0.34548507371979847</v>
      </c>
      <c r="K42" s="15">
        <v>3.1</v>
      </c>
      <c r="L42" s="14" t="s">
        <v>16</v>
      </c>
      <c r="M42" s="5">
        <f>(ROW(O42)-ROW($O$2)+0.5)/COUNT($O$2:$O$112)</f>
        <v>0.36486486486486486</v>
      </c>
      <c r="N42" s="5">
        <f>_xlfn.NORM.S.INV(M42)</f>
        <v>-0.34548507371979847</v>
      </c>
      <c r="O42" s="16">
        <v>85</v>
      </c>
      <c r="P42" s="7">
        <f>(ROW(R42)-ROW($R$2)+0.5)/COUNT($R$2:$R$112)</f>
        <v>0.36486486486486486</v>
      </c>
      <c r="Q42" s="7">
        <f>_xlfn.NORM.S.INV(P42)</f>
        <v>-0.34548507371979847</v>
      </c>
      <c r="R42" s="14">
        <v>1</v>
      </c>
      <c r="S42" s="5">
        <f>(ROW(U42)-ROW($U$2)+0.5)/COUNT($U$2:$U$112)</f>
        <v>0.36486486486486486</v>
      </c>
      <c r="T42" s="5">
        <f>_xlfn.NORM.S.INV(S42)</f>
        <v>-0.34548507371979847</v>
      </c>
      <c r="U42" s="14">
        <v>2</v>
      </c>
      <c r="V42" s="5">
        <f>(ROW(X42)-ROW($X$2)+0.5)/COUNT($T$2:$T$112)</f>
        <v>0.36486486486486486</v>
      </c>
      <c r="W42" s="5">
        <f>_xlfn.NORM.S.INV(V42)</f>
        <v>-0.34548507371979847</v>
      </c>
      <c r="X42" s="14">
        <v>700</v>
      </c>
      <c r="Y42" s="14" t="s">
        <v>25</v>
      </c>
      <c r="Z42" s="5">
        <f>(ROW(AB42)-ROW($AB$2)+0.5)/COUNT($AB$2:$AB$112)</f>
        <v>0.36486486486486486</v>
      </c>
      <c r="AA42" s="5">
        <f>_xlfn.NORM.S.INV(Z42)</f>
        <v>-0.34548507371979847</v>
      </c>
      <c r="AB42" s="14">
        <v>300</v>
      </c>
      <c r="AC42" s="5">
        <f t="shared" si="0"/>
        <v>0.36486486486486486</v>
      </c>
      <c r="AD42" s="5">
        <f t="shared" si="1"/>
        <v>-0.34548507371979847</v>
      </c>
      <c r="AE42" s="16">
        <v>1</v>
      </c>
      <c r="AF42" s="5"/>
    </row>
    <row r="43" spans="1:32" x14ac:dyDescent="0.3">
      <c r="A43" s="5">
        <v>97</v>
      </c>
      <c r="B43" s="5" t="s">
        <v>18</v>
      </c>
      <c r="C43" s="5">
        <f>(ROW(E43)-1)/(COUNT($E$2:$E$112)+1)</f>
        <v>0.375</v>
      </c>
      <c r="D43" s="5">
        <f>_xlfn.NORM.S.INV(C43)</f>
        <v>-0.3186393639643752</v>
      </c>
      <c r="E43" s="5">
        <v>24</v>
      </c>
      <c r="F43" s="5" t="s">
        <v>29</v>
      </c>
      <c r="G43" s="5" t="s">
        <v>32</v>
      </c>
      <c r="H43" s="5" t="s">
        <v>26</v>
      </c>
      <c r="I43" s="5">
        <f>(ROW(K43)-ROW($K$2)+0.5)/COUNT($K$2:$K$112)</f>
        <v>0.37387387387387389</v>
      </c>
      <c r="J43" s="5">
        <f>_xlfn.NORM.S.INV(I43)</f>
        <v>-0.32161055351265833</v>
      </c>
      <c r="K43" s="6">
        <v>3</v>
      </c>
      <c r="L43" s="5" t="s">
        <v>16</v>
      </c>
      <c r="M43" s="5">
        <f>(ROW(O43)-ROW($O$2)+0.5)/COUNT($O$2:$O$112)</f>
        <v>0.37387387387387389</v>
      </c>
      <c r="N43" s="5">
        <f>_xlfn.NORM.S.INV(M43)</f>
        <v>-0.32161055351265833</v>
      </c>
      <c r="O43" s="7">
        <v>60</v>
      </c>
      <c r="P43" s="7">
        <f>(ROW(R43)-ROW($R$2)+0.5)/COUNT($R$2:$R$112)</f>
        <v>0.37387387387387389</v>
      </c>
      <c r="Q43" s="7">
        <f>_xlfn.NORM.S.INV(P43)</f>
        <v>-0.32161055351265833</v>
      </c>
      <c r="R43" s="5">
        <v>5</v>
      </c>
      <c r="S43" s="5">
        <f>(ROW(U43)-ROW($U$2)+0.5)/COUNT($U$2:$U$112)</f>
        <v>0.37387387387387389</v>
      </c>
      <c r="T43" s="5">
        <f>_xlfn.NORM.S.INV(S43)</f>
        <v>-0.32161055351265833</v>
      </c>
      <c r="U43" s="5">
        <v>4</v>
      </c>
      <c r="V43" s="5">
        <f>(ROW(X43)-ROW($X$2)+0.5)/COUNT($T$2:$T$112)</f>
        <v>0.37387387387387389</v>
      </c>
      <c r="W43" s="5">
        <f>_xlfn.NORM.S.INV(V43)</f>
        <v>-0.32161055351265833</v>
      </c>
      <c r="X43" s="5">
        <v>1700</v>
      </c>
      <c r="Y43" s="5" t="s">
        <v>17</v>
      </c>
      <c r="Z43" s="5">
        <f>(ROW(AB43)-ROW($AB$2)+0.5)/COUNT($AB$2:$AB$112)</f>
        <v>0.37387387387387389</v>
      </c>
      <c r="AA43" s="5">
        <f>_xlfn.NORM.S.INV(Z43)</f>
        <v>-0.32161055351265833</v>
      </c>
      <c r="AB43" s="5">
        <v>300</v>
      </c>
      <c r="AC43" s="5">
        <f t="shared" si="0"/>
        <v>0.37387387387387389</v>
      </c>
      <c r="AD43" s="5">
        <f t="shared" si="1"/>
        <v>-0.32161055351265833</v>
      </c>
      <c r="AE43" s="7">
        <v>1</v>
      </c>
      <c r="AF43" s="5"/>
    </row>
    <row r="44" spans="1:32" x14ac:dyDescent="0.3">
      <c r="A44" s="5">
        <v>42</v>
      </c>
      <c r="B44" s="5" t="s">
        <v>12</v>
      </c>
      <c r="C44" s="5">
        <f>(ROW(E44)-1)/(COUNT($E$2:$E$112)+1)</f>
        <v>0.38392857142857145</v>
      </c>
      <c r="D44" s="5">
        <f>_xlfn.NORM.S.INV(C44)</f>
        <v>-0.29517900048864582</v>
      </c>
      <c r="E44" s="5">
        <v>21</v>
      </c>
      <c r="F44" s="5" t="s">
        <v>29</v>
      </c>
      <c r="G44" s="5" t="s">
        <v>31</v>
      </c>
      <c r="H44" s="5" t="s">
        <v>30</v>
      </c>
      <c r="I44" s="5">
        <f>(ROW(K44)-ROW($K$2)+0.5)/COUNT($K$2:$K$112)</f>
        <v>0.38288288288288286</v>
      </c>
      <c r="J44" s="5">
        <f>_xlfn.NORM.S.INV(I44)</f>
        <v>-0.29791797856351676</v>
      </c>
      <c r="K44" s="6">
        <v>3.3</v>
      </c>
      <c r="L44" s="5" t="s">
        <v>21</v>
      </c>
      <c r="M44" s="5">
        <f>(ROW(O44)-ROW($O$2)+0.5)/COUNT($O$2:$O$112)</f>
        <v>0.38288288288288286</v>
      </c>
      <c r="N44" s="5">
        <f>_xlfn.NORM.S.INV(M44)</f>
        <v>-0.29791797856351676</v>
      </c>
      <c r="O44" s="7">
        <v>35</v>
      </c>
      <c r="P44" s="7">
        <f>(ROW(R44)-ROW($R$2)+0.5)/COUNT($R$2:$R$112)</f>
        <v>0.38288288288288286</v>
      </c>
      <c r="Q44" s="7">
        <f>_xlfn.NORM.S.INV(P44)</f>
        <v>-0.29791797856351676</v>
      </c>
      <c r="R44" s="5">
        <v>6</v>
      </c>
      <c r="S44" s="5">
        <f>(ROW(U44)-ROW($U$2)+0.5)/COUNT($U$2:$U$112)</f>
        <v>0.38288288288288286</v>
      </c>
      <c r="T44" s="5">
        <f>_xlfn.NORM.S.INV(S44)</f>
        <v>-0.29791797856351676</v>
      </c>
      <c r="U44" s="5">
        <v>4</v>
      </c>
      <c r="V44" s="5">
        <f>(ROW(X44)-ROW($X$2)+0.5)/COUNT($T$2:$T$112)</f>
        <v>0.38288288288288286</v>
      </c>
      <c r="W44" s="5">
        <f>_xlfn.NORM.S.INV(V44)</f>
        <v>-0.29791797856351676</v>
      </c>
      <c r="X44" s="5">
        <v>1100</v>
      </c>
      <c r="Y44" s="5" t="s">
        <v>17</v>
      </c>
      <c r="Z44" s="5">
        <f>(ROW(AB44)-ROW($AB$2)+0.5)/COUNT($AB$2:$AB$112)</f>
        <v>0.38288288288288286</v>
      </c>
      <c r="AA44" s="5">
        <f>_xlfn.NORM.S.INV(Z44)</f>
        <v>-0.29791797856351676</v>
      </c>
      <c r="AB44" s="5">
        <v>350</v>
      </c>
      <c r="AC44" s="5">
        <f t="shared" si="0"/>
        <v>0.38288288288288286</v>
      </c>
      <c r="AD44" s="5">
        <f t="shared" si="1"/>
        <v>-0.29791797856351676</v>
      </c>
      <c r="AE44" s="7">
        <v>1</v>
      </c>
      <c r="AF44" s="5"/>
    </row>
    <row r="45" spans="1:32" x14ac:dyDescent="0.3">
      <c r="A45" s="14">
        <v>44</v>
      </c>
      <c r="B45" s="14" t="s">
        <v>12</v>
      </c>
      <c r="C45" s="5">
        <f>(ROW(E45)-1)/(COUNT($E$2:$E$112)+1)</f>
        <v>0.39285714285714285</v>
      </c>
      <c r="D45" s="5">
        <f>_xlfn.NORM.S.INV(C45)</f>
        <v>-0.27188000539926088</v>
      </c>
      <c r="E45" s="14">
        <v>21</v>
      </c>
      <c r="F45" s="14" t="s">
        <v>19</v>
      </c>
      <c r="G45" s="14" t="s">
        <v>31</v>
      </c>
      <c r="H45" s="14" t="s">
        <v>30</v>
      </c>
      <c r="I45" s="5">
        <f>(ROW(K45)-ROW($K$2)+0.5)/COUNT($K$2:$K$112)</f>
        <v>0.39189189189189189</v>
      </c>
      <c r="J45" s="5">
        <f>_xlfn.NORM.S.INV(I45)</f>
        <v>-0.27439148786003692</v>
      </c>
      <c r="K45" s="15">
        <v>3.9</v>
      </c>
      <c r="L45" s="14" t="s">
        <v>16</v>
      </c>
      <c r="M45" s="5">
        <f>(ROW(O45)-ROW($O$2)+0.5)/COUNT($O$2:$O$112)</f>
        <v>0.39189189189189189</v>
      </c>
      <c r="N45" s="5">
        <f>_xlfn.NORM.S.INV(M45)</f>
        <v>-0.27439148786003692</v>
      </c>
      <c r="O45" s="16">
        <v>35</v>
      </c>
      <c r="P45" s="7">
        <f>(ROW(R45)-ROW($R$2)+0.5)/COUNT($R$2:$R$112)</f>
        <v>0.39189189189189189</v>
      </c>
      <c r="Q45" s="7">
        <f>_xlfn.NORM.S.INV(P45)</f>
        <v>-0.27439148786003692</v>
      </c>
      <c r="R45" s="14">
        <v>4</v>
      </c>
      <c r="S45" s="5">
        <f>(ROW(U45)-ROW($U$2)+0.5)/COUNT($U$2:$U$112)</f>
        <v>0.39189189189189189</v>
      </c>
      <c r="T45" s="5">
        <f>_xlfn.NORM.S.INV(S45)</f>
        <v>-0.27439148786003692</v>
      </c>
      <c r="U45" s="14">
        <v>5</v>
      </c>
      <c r="V45" s="5">
        <f>(ROW(X45)-ROW($X$2)+0.5)/COUNT($T$2:$T$112)</f>
        <v>0.39189189189189189</v>
      </c>
      <c r="W45" s="5">
        <f>_xlfn.NORM.S.INV(V45)</f>
        <v>-0.27439148786003692</v>
      </c>
      <c r="X45" s="14">
        <v>600</v>
      </c>
      <c r="Y45" s="14" t="s">
        <v>17</v>
      </c>
      <c r="Z45" s="5">
        <f>(ROW(AB45)-ROW($AB$2)+0.5)/COUNT($AB$2:$AB$112)</f>
        <v>0.39189189189189189</v>
      </c>
      <c r="AA45" s="5">
        <f>_xlfn.NORM.S.INV(Z45)</f>
        <v>-0.27439148786003692</v>
      </c>
      <c r="AB45" s="14">
        <v>400</v>
      </c>
      <c r="AC45" s="5">
        <f t="shared" si="0"/>
        <v>0.39189189189189189</v>
      </c>
      <c r="AD45" s="5">
        <f t="shared" si="1"/>
        <v>-0.27439148786003692</v>
      </c>
      <c r="AE45" s="16">
        <v>1</v>
      </c>
      <c r="AF45" s="5"/>
    </row>
    <row r="46" spans="1:32" x14ac:dyDescent="0.3">
      <c r="A46" s="5">
        <v>65</v>
      </c>
      <c r="B46" s="5" t="s">
        <v>18</v>
      </c>
      <c r="C46" s="5">
        <f>(ROW(E46)-1)/(COUNT($E$2:$E$112)+1)</f>
        <v>0.4017857142857143</v>
      </c>
      <c r="D46" s="5">
        <f>_xlfn.NORM.S.INV(C46)</f>
        <v>-0.24872768963691655</v>
      </c>
      <c r="E46" s="5">
        <v>22</v>
      </c>
      <c r="F46" s="5" t="s">
        <v>23</v>
      </c>
      <c r="G46" s="5" t="s">
        <v>26</v>
      </c>
      <c r="H46" s="5" t="s">
        <v>15</v>
      </c>
      <c r="I46" s="5">
        <f>(ROW(K46)-ROW($K$2)+0.5)/COUNT($K$2:$K$112)</f>
        <v>0.40090090090090091</v>
      </c>
      <c r="J46" s="5">
        <f>_xlfn.NORM.S.INV(I46)</f>
        <v>-0.25101591868327155</v>
      </c>
      <c r="K46" s="6">
        <v>3.6</v>
      </c>
      <c r="L46" s="5" t="s">
        <v>27</v>
      </c>
      <c r="M46" s="5">
        <f>(ROW(O46)-ROW($O$2)+0.5)/COUNT($O$2:$O$112)</f>
        <v>0.40090090090090091</v>
      </c>
      <c r="N46" s="5">
        <f>_xlfn.NORM.S.INV(M46)</f>
        <v>-0.25101591868327155</v>
      </c>
      <c r="O46" s="7">
        <v>55</v>
      </c>
      <c r="P46" s="7">
        <f>(ROW(R46)-ROW($R$2)+0.5)/COUNT($R$2:$R$112)</f>
        <v>0.40090090090090091</v>
      </c>
      <c r="Q46" s="7">
        <f>_xlfn.NORM.S.INV(P46)</f>
        <v>-0.25101591868327155</v>
      </c>
      <c r="R46" s="5">
        <v>12</v>
      </c>
      <c r="S46" s="5">
        <f>(ROW(U46)-ROW($U$2)+0.5)/COUNT($U$2:$U$112)</f>
        <v>0.40090090090090091</v>
      </c>
      <c r="T46" s="5">
        <f>_xlfn.NORM.S.INV(S46)</f>
        <v>-0.25101591868327155</v>
      </c>
      <c r="U46" s="5">
        <v>4</v>
      </c>
      <c r="V46" s="5">
        <f>(ROW(X46)-ROW($X$2)+0.5)/COUNT($T$2:$T$112)</f>
        <v>0.40090090090090091</v>
      </c>
      <c r="W46" s="5">
        <f>_xlfn.NORM.S.INV(V46)</f>
        <v>-0.25101591868327155</v>
      </c>
      <c r="X46" s="5">
        <v>700</v>
      </c>
      <c r="Y46" s="5" t="s">
        <v>25</v>
      </c>
      <c r="Z46" s="5">
        <f>(ROW(AB46)-ROW($AB$2)+0.5)/COUNT($AB$2:$AB$112)</f>
        <v>0.40090090090090091</v>
      </c>
      <c r="AA46" s="5">
        <f>_xlfn.NORM.S.INV(Z46)</f>
        <v>-0.25101591868327155</v>
      </c>
      <c r="AB46" s="5">
        <v>500</v>
      </c>
      <c r="AC46" s="5">
        <f t="shared" si="0"/>
        <v>0.40090090090090091</v>
      </c>
      <c r="AD46" s="5">
        <f t="shared" si="1"/>
        <v>-0.25101591868327155</v>
      </c>
      <c r="AE46" s="7">
        <v>1</v>
      </c>
      <c r="AF46" s="5"/>
    </row>
    <row r="47" spans="1:32" x14ac:dyDescent="0.3">
      <c r="A47" s="5">
        <v>90</v>
      </c>
      <c r="B47" s="5" t="s">
        <v>12</v>
      </c>
      <c r="C47" s="5">
        <f>(ROW(E47)-1)/(COUNT($E$2:$E$112)+1)</f>
        <v>0.4107142857142857</v>
      </c>
      <c r="D47" s="5">
        <f>_xlfn.NORM.S.INV(C47)</f>
        <v>-0.2257079538601594</v>
      </c>
      <c r="E47" s="5">
        <v>24</v>
      </c>
      <c r="F47" s="5" t="s">
        <v>13</v>
      </c>
      <c r="G47" s="5" t="s">
        <v>28</v>
      </c>
      <c r="H47" s="5" t="s">
        <v>15</v>
      </c>
      <c r="I47" s="5">
        <f>(ROW(K47)-ROW($K$2)+0.5)/COUNT($K$2:$K$112)</f>
        <v>0.40990990990990989</v>
      </c>
      <c r="J47" s="5">
        <f>_xlfn.NORM.S.INV(I47)</f>
        <v>-0.22777672762222839</v>
      </c>
      <c r="K47" s="6">
        <v>3.5</v>
      </c>
      <c r="L47" s="5" t="s">
        <v>21</v>
      </c>
      <c r="M47" s="5">
        <f>(ROW(O47)-ROW($O$2)+0.5)/COUNT($O$2:$O$112)</f>
        <v>0.40990990990990989</v>
      </c>
      <c r="N47" s="5">
        <f>_xlfn.NORM.S.INV(M47)</f>
        <v>-0.22777672762222839</v>
      </c>
      <c r="O47" s="7">
        <v>60</v>
      </c>
      <c r="P47" s="7">
        <f>(ROW(R47)-ROW($R$2)+0.5)/COUNT($R$2:$R$112)</f>
        <v>0.40990990990990989</v>
      </c>
      <c r="Q47" s="7">
        <f>_xlfn.NORM.S.INV(P47)</f>
        <v>-0.22777672762222839</v>
      </c>
      <c r="R47" s="5">
        <v>4</v>
      </c>
      <c r="S47" s="5">
        <f>(ROW(U47)-ROW($U$2)+0.5)/COUNT($U$2:$U$112)</f>
        <v>0.40990990990990989</v>
      </c>
      <c r="T47" s="5">
        <f>_xlfn.NORM.S.INV(S47)</f>
        <v>-0.22777672762222839</v>
      </c>
      <c r="U47" s="5">
        <v>5</v>
      </c>
      <c r="V47" s="5">
        <f>(ROW(X47)-ROW($X$2)+0.5)/COUNT($T$2:$T$112)</f>
        <v>0.40990990990990989</v>
      </c>
      <c r="W47" s="5">
        <f>_xlfn.NORM.S.INV(V47)</f>
        <v>-0.22777672762222839</v>
      </c>
      <c r="X47" s="5">
        <v>750</v>
      </c>
      <c r="Y47" s="5" t="s">
        <v>17</v>
      </c>
      <c r="Z47" s="5">
        <f>(ROW(AB47)-ROW($AB$2)+0.5)/COUNT($AB$2:$AB$112)</f>
        <v>0.40990990990990989</v>
      </c>
      <c r="AA47" s="5">
        <f>_xlfn.NORM.S.INV(Z47)</f>
        <v>-0.22777672762222839</v>
      </c>
      <c r="AB47" s="5">
        <v>500</v>
      </c>
      <c r="AC47" s="5">
        <f t="shared" si="0"/>
        <v>0.40990990990990989</v>
      </c>
      <c r="AD47" s="5">
        <f t="shared" si="1"/>
        <v>-0.22777672762222839</v>
      </c>
      <c r="AE47" s="7">
        <v>1</v>
      </c>
      <c r="AF47" s="5"/>
    </row>
    <row r="48" spans="1:32" x14ac:dyDescent="0.3">
      <c r="A48" s="5">
        <v>60</v>
      </c>
      <c r="B48" s="5" t="s">
        <v>12</v>
      </c>
      <c r="C48" s="5">
        <f>(ROW(E48)-1)/(COUNT($E$2:$E$112)+1)</f>
        <v>0.41964285714285715</v>
      </c>
      <c r="D48" s="5">
        <f>_xlfn.NORM.S.INV(C48)</f>
        <v>-0.20280722023220576</v>
      </c>
      <c r="E48" s="5">
        <v>22</v>
      </c>
      <c r="F48" s="5" t="s">
        <v>13</v>
      </c>
      <c r="G48" s="5" t="s">
        <v>24</v>
      </c>
      <c r="H48" s="5" t="s">
        <v>30</v>
      </c>
      <c r="I48" s="5">
        <f>(ROW(K48)-ROW($K$2)+0.5)/COUNT($K$2:$K$112)</f>
        <v>0.41891891891891891</v>
      </c>
      <c r="J48" s="5">
        <f>_xlfn.NORM.S.INV(I48)</f>
        <v>-0.20465991857047608</v>
      </c>
      <c r="K48" s="6">
        <v>2.5</v>
      </c>
      <c r="L48" s="5" t="s">
        <v>21</v>
      </c>
      <c r="M48" s="5">
        <f>(ROW(O48)-ROW($O$2)+0.5)/COUNT($O$2:$O$112)</f>
        <v>0.41891891891891891</v>
      </c>
      <c r="N48" s="5">
        <f>_xlfn.NORM.S.INV(M48)</f>
        <v>-0.20465991857047608</v>
      </c>
      <c r="O48" s="7">
        <v>60</v>
      </c>
      <c r="P48" s="7">
        <f>(ROW(R48)-ROW($R$2)+0.5)/COUNT($R$2:$R$112)</f>
        <v>0.41891891891891891</v>
      </c>
      <c r="Q48" s="7">
        <f>_xlfn.NORM.S.INV(P48)</f>
        <v>-0.20465991857047608</v>
      </c>
      <c r="R48" s="5">
        <v>7</v>
      </c>
      <c r="S48" s="5">
        <f>(ROW(U48)-ROW($U$2)+0.5)/COUNT($U$2:$U$112)</f>
        <v>0.41891891891891891</v>
      </c>
      <c r="T48" s="5">
        <f>_xlfn.NORM.S.INV(S48)</f>
        <v>-0.20465991857047608</v>
      </c>
      <c r="U48" s="5">
        <v>4</v>
      </c>
      <c r="V48" s="5">
        <f>(ROW(X48)-ROW($X$2)+0.5)/COUNT($T$2:$T$112)</f>
        <v>0.41891891891891891</v>
      </c>
      <c r="W48" s="5">
        <f>_xlfn.NORM.S.INV(V48)</f>
        <v>-0.20465991857047608</v>
      </c>
      <c r="X48" s="5">
        <v>1000</v>
      </c>
      <c r="Y48" s="5" t="s">
        <v>25</v>
      </c>
      <c r="Z48" s="5">
        <f>(ROW(AB48)-ROW($AB$2)+0.5)/COUNT($AB$2:$AB$112)</f>
        <v>0.41891891891891891</v>
      </c>
      <c r="AA48" s="5">
        <f>_xlfn.NORM.S.INV(Z48)</f>
        <v>-0.20465991857047608</v>
      </c>
      <c r="AB48" s="5">
        <v>500</v>
      </c>
      <c r="AC48" s="5">
        <f t="shared" si="0"/>
        <v>0.41891891891891891</v>
      </c>
      <c r="AD48" s="5">
        <f t="shared" si="1"/>
        <v>-0.20465991857047608</v>
      </c>
      <c r="AE48" s="7">
        <v>1</v>
      </c>
      <c r="AF48" s="5"/>
    </row>
    <row r="49" spans="1:32" x14ac:dyDescent="0.3">
      <c r="A49" s="5">
        <v>72</v>
      </c>
      <c r="B49" s="5" t="s">
        <v>12</v>
      </c>
      <c r="C49" s="5">
        <f>(ROW(E49)-1)/(COUNT($E$2:$E$112)+1)</f>
        <v>0.42857142857142855</v>
      </c>
      <c r="D49" s="5">
        <f>_xlfn.NORM.S.INV(C49)</f>
        <v>-0.18001236979270516</v>
      </c>
      <c r="E49" s="5">
        <v>23</v>
      </c>
      <c r="F49" s="5" t="s">
        <v>19</v>
      </c>
      <c r="G49" s="5" t="s">
        <v>20</v>
      </c>
      <c r="H49" s="5" t="s">
        <v>30</v>
      </c>
      <c r="I49" s="5">
        <f>(ROW(K49)-ROW($K$2)+0.5)/COUNT($K$2:$K$112)</f>
        <v>0.42792792792792794</v>
      </c>
      <c r="J49" s="5">
        <f>_xlfn.NORM.S.INV(I49)</f>
        <v>-0.18165197670757266</v>
      </c>
      <c r="K49" s="6">
        <v>3.1</v>
      </c>
      <c r="L49" s="5" t="s">
        <v>21</v>
      </c>
      <c r="M49" s="5">
        <f>(ROW(O49)-ROW($O$2)+0.5)/COUNT($O$2:$O$112)</f>
        <v>0.42792792792792794</v>
      </c>
      <c r="N49" s="5">
        <f>_xlfn.NORM.S.INV(M49)</f>
        <v>-0.18165197670757266</v>
      </c>
      <c r="O49" s="7">
        <v>55</v>
      </c>
      <c r="P49" s="7">
        <f>(ROW(R49)-ROW($R$2)+0.5)/COUNT($R$2:$R$112)</f>
        <v>0.42792792792792794</v>
      </c>
      <c r="Q49" s="7">
        <f>_xlfn.NORM.S.INV(P49)</f>
        <v>-0.18165197670757266</v>
      </c>
      <c r="R49" s="5">
        <v>4</v>
      </c>
      <c r="S49" s="5">
        <f>(ROW(U49)-ROW($U$2)+0.5)/COUNT($U$2:$U$112)</f>
        <v>0.42792792792792794</v>
      </c>
      <c r="T49" s="5">
        <f>_xlfn.NORM.S.INV(S49)</f>
        <v>-0.18165197670757266</v>
      </c>
      <c r="U49" s="5">
        <v>4</v>
      </c>
      <c r="V49" s="5">
        <f>(ROW(X49)-ROW($X$2)+0.5)/COUNT($T$2:$T$112)</f>
        <v>0.42792792792792794</v>
      </c>
      <c r="W49" s="5">
        <f>_xlfn.NORM.S.INV(V49)</f>
        <v>-0.18165197670757266</v>
      </c>
      <c r="X49" s="5">
        <v>1060</v>
      </c>
      <c r="Y49" s="5" t="s">
        <v>22</v>
      </c>
      <c r="Z49" s="5">
        <f>(ROW(AB49)-ROW($AB$2)+0.5)/COUNT($AB$2:$AB$112)</f>
        <v>0.42792792792792794</v>
      </c>
      <c r="AA49" s="5">
        <f>_xlfn.NORM.S.INV(Z49)</f>
        <v>-0.18165197670757266</v>
      </c>
      <c r="AB49" s="5">
        <v>600</v>
      </c>
      <c r="AC49" s="5">
        <f t="shared" si="0"/>
        <v>0.42792792792792794</v>
      </c>
      <c r="AD49" s="5">
        <f t="shared" si="1"/>
        <v>-0.18165197670757266</v>
      </c>
      <c r="AE49" s="7">
        <v>1</v>
      </c>
      <c r="AF49" s="5"/>
    </row>
    <row r="50" spans="1:32" x14ac:dyDescent="0.3">
      <c r="A50" s="5">
        <v>79</v>
      </c>
      <c r="B50" s="5" t="s">
        <v>12</v>
      </c>
      <c r="C50" s="5">
        <f>(ROW(E50)-1)/(COUNT($E$2:$E$112)+1)</f>
        <v>0.4375</v>
      </c>
      <c r="D50" s="5">
        <f>_xlfn.NORM.S.INV(C50)</f>
        <v>-0.1573106846101707</v>
      </c>
      <c r="E50" s="5">
        <v>23</v>
      </c>
      <c r="F50" s="5" t="s">
        <v>13</v>
      </c>
      <c r="G50" s="5" t="s">
        <v>26</v>
      </c>
      <c r="H50" s="5" t="s">
        <v>15</v>
      </c>
      <c r="I50" s="5">
        <f>(ROW(K50)-ROW($K$2)+0.5)/COUNT($K$2:$K$112)</f>
        <v>0.43693693693693691</v>
      </c>
      <c r="J50" s="5">
        <f>_xlfn.NORM.S.INV(I50)</f>
        <v>-0.15873980759786754</v>
      </c>
      <c r="K50" s="6">
        <v>3.3</v>
      </c>
      <c r="L50" s="5" t="s">
        <v>21</v>
      </c>
      <c r="M50" s="5">
        <f>(ROW(O50)-ROW($O$2)+0.5)/COUNT($O$2:$O$112)</f>
        <v>0.43693693693693691</v>
      </c>
      <c r="N50" s="5">
        <f>_xlfn.NORM.S.INV(M50)</f>
        <v>-0.15873980759786754</v>
      </c>
      <c r="O50" s="7">
        <v>55</v>
      </c>
      <c r="P50" s="7">
        <f>(ROW(R50)-ROW($R$2)+0.5)/COUNT($R$2:$R$112)</f>
        <v>0.43693693693693691</v>
      </c>
      <c r="Q50" s="7">
        <f>_xlfn.NORM.S.INV(P50)</f>
        <v>-0.15873980759786754</v>
      </c>
      <c r="R50" s="5">
        <v>6</v>
      </c>
      <c r="S50" s="5">
        <f>(ROW(U50)-ROW($U$2)+0.5)/COUNT($U$2:$U$112)</f>
        <v>0.43693693693693691</v>
      </c>
      <c r="T50" s="5">
        <f>_xlfn.NORM.S.INV(S50)</f>
        <v>-0.15873980759786754</v>
      </c>
      <c r="U50" s="5">
        <v>4</v>
      </c>
      <c r="V50" s="5">
        <f>(ROW(X50)-ROW($X$2)+0.5)/COUNT($T$2:$T$112)</f>
        <v>0.43693693693693691</v>
      </c>
      <c r="W50" s="5">
        <f>_xlfn.NORM.S.INV(V50)</f>
        <v>-0.15873980759786754</v>
      </c>
      <c r="X50" s="5">
        <v>900</v>
      </c>
      <c r="Y50" s="5" t="s">
        <v>17</v>
      </c>
      <c r="Z50" s="5">
        <f>(ROW(AB50)-ROW($AB$2)+0.5)/COUNT($AB$2:$AB$112)</f>
        <v>0.43693693693693691</v>
      </c>
      <c r="AA50" s="5">
        <f>_xlfn.NORM.S.INV(Z50)</f>
        <v>-0.15873980759786754</v>
      </c>
      <c r="AB50" s="5">
        <v>650</v>
      </c>
      <c r="AC50" s="5">
        <f t="shared" si="0"/>
        <v>0.43693693693693691</v>
      </c>
      <c r="AD50" s="5">
        <f t="shared" si="1"/>
        <v>-0.15873980759786754</v>
      </c>
      <c r="AE50" s="7">
        <v>1</v>
      </c>
      <c r="AF50" s="5"/>
    </row>
    <row r="51" spans="1:32" x14ac:dyDescent="0.3">
      <c r="A51" s="5">
        <v>32</v>
      </c>
      <c r="B51" s="5" t="s">
        <v>18</v>
      </c>
      <c r="C51" s="5">
        <f>(ROW(E51)-1)/(COUNT($E$2:$E$112)+1)</f>
        <v>0.44642857142857145</v>
      </c>
      <c r="D51" s="5">
        <f>_xlfn.NORM.S.INV(C51)</f>
        <v>-0.13468979400891959</v>
      </c>
      <c r="E51" s="5">
        <v>21</v>
      </c>
      <c r="F51" s="5" t="s">
        <v>29</v>
      </c>
      <c r="G51" s="5" t="s">
        <v>14</v>
      </c>
      <c r="H51" s="5" t="s">
        <v>15</v>
      </c>
      <c r="I51" s="5">
        <f>(ROW(K51)-ROW($K$2)+0.5)/COUNT($K$2:$K$112)</f>
        <v>0.44594594594594594</v>
      </c>
      <c r="J51" s="5">
        <f>_xlfn.NORM.S.INV(I51)</f>
        <v>-0.13591068064648049</v>
      </c>
      <c r="K51" s="6">
        <v>2.9</v>
      </c>
      <c r="L51" s="5" t="s">
        <v>21</v>
      </c>
      <c r="M51" s="5">
        <f>(ROW(O51)-ROW($O$2)+0.5)/COUNT($O$2:$O$112)</f>
        <v>0.44594594594594594</v>
      </c>
      <c r="N51" s="5">
        <f>_xlfn.NORM.S.INV(M51)</f>
        <v>-0.13591068064648049</v>
      </c>
      <c r="O51" s="7">
        <v>52</v>
      </c>
      <c r="P51" s="7">
        <f>(ROW(R51)-ROW($R$2)+0.5)/COUNT($R$2:$R$112)</f>
        <v>0.44594594594594594</v>
      </c>
      <c r="Q51" s="7">
        <f>_xlfn.NORM.S.INV(P51)</f>
        <v>-0.13591068064648049</v>
      </c>
      <c r="R51" s="5">
        <v>3</v>
      </c>
      <c r="S51" s="5">
        <f>(ROW(U51)-ROW($U$2)+0.5)/COUNT($U$2:$U$112)</f>
        <v>0.44594594594594594</v>
      </c>
      <c r="T51" s="5">
        <f>_xlfn.NORM.S.INV(S51)</f>
        <v>-0.13591068064648049</v>
      </c>
      <c r="U51" s="5">
        <v>1</v>
      </c>
      <c r="V51" s="5">
        <f>(ROW(X51)-ROW($X$2)+0.5)/COUNT($T$2:$T$112)</f>
        <v>0.44594594594594594</v>
      </c>
      <c r="W51" s="5">
        <f>_xlfn.NORM.S.INV(V51)</f>
        <v>-0.13591068064648049</v>
      </c>
      <c r="X51" s="5">
        <v>800</v>
      </c>
      <c r="Y51" s="5" t="s">
        <v>17</v>
      </c>
      <c r="Z51" s="5">
        <f>(ROW(AB51)-ROW($AB$2)+0.5)/COUNT($AB$2:$AB$112)</f>
        <v>0.44594594594594594</v>
      </c>
      <c r="AA51" s="5">
        <f>_xlfn.NORM.S.INV(Z51)</f>
        <v>-0.13591068064648049</v>
      </c>
      <c r="AB51" s="5">
        <v>300</v>
      </c>
      <c r="AC51" s="5">
        <f t="shared" si="0"/>
        <v>0.44594594594594594</v>
      </c>
      <c r="AD51" s="5">
        <f t="shared" si="1"/>
        <v>-0.13591068064648049</v>
      </c>
      <c r="AE51" s="7">
        <v>1.25</v>
      </c>
      <c r="AF51" s="5"/>
    </row>
    <row r="52" spans="1:32" x14ac:dyDescent="0.3">
      <c r="A52" s="5">
        <v>16</v>
      </c>
      <c r="B52" s="5" t="s">
        <v>18</v>
      </c>
      <c r="C52" s="5">
        <f>(ROW(E52)-1)/(COUNT($E$2:$E$112)+1)</f>
        <v>0.45535714285714285</v>
      </c>
      <c r="D52" s="5">
        <f>_xlfn.NORM.S.INV(C52)</f>
        <v>-0.11213762424542992</v>
      </c>
      <c r="E52" s="5">
        <v>20</v>
      </c>
      <c r="F52" s="5" t="s">
        <v>19</v>
      </c>
      <c r="G52" s="5" t="s">
        <v>20</v>
      </c>
      <c r="H52" s="5" t="s">
        <v>26</v>
      </c>
      <c r="I52" s="5">
        <f>(ROW(K52)-ROW($K$2)+0.5)/COUNT($K$2:$K$112)</f>
        <v>0.45495495495495497</v>
      </c>
      <c r="J52" s="5">
        <f>_xlfn.NORM.S.INV(I52)</f>
        <v>-0.11315217624074865</v>
      </c>
      <c r="K52" s="6">
        <v>3.4</v>
      </c>
      <c r="L52" s="5" t="s">
        <v>21</v>
      </c>
      <c r="M52" s="5">
        <f>(ROW(O52)-ROW($O$2)+0.5)/COUNT($O$2:$O$112)</f>
        <v>0.45495495495495497</v>
      </c>
      <c r="N52" s="5">
        <f>_xlfn.NORM.S.INV(M52)</f>
        <v>-0.11315217624074865</v>
      </c>
      <c r="O52" s="7">
        <v>50</v>
      </c>
      <c r="P52" s="7">
        <f>(ROW(R52)-ROW($R$2)+0.5)/COUNT($R$2:$R$112)</f>
        <v>0.45495495495495497</v>
      </c>
      <c r="Q52" s="7">
        <f>_xlfn.NORM.S.INV(P52)</f>
        <v>-0.11315217624074865</v>
      </c>
      <c r="R52" s="5">
        <v>4</v>
      </c>
      <c r="S52" s="5">
        <f>(ROW(U52)-ROW($U$2)+0.5)/COUNT($U$2:$U$112)</f>
        <v>0.45495495495495497</v>
      </c>
      <c r="T52" s="5">
        <f>_xlfn.NORM.S.INV(S52)</f>
        <v>-0.11315217624074865</v>
      </c>
      <c r="U52" s="5">
        <v>4</v>
      </c>
      <c r="V52" s="5">
        <f>(ROW(X52)-ROW($X$2)+0.5)/COUNT($T$2:$T$112)</f>
        <v>0.45495495495495497</v>
      </c>
      <c r="W52" s="5">
        <f>_xlfn.NORM.S.INV(V52)</f>
        <v>-0.11315217624074865</v>
      </c>
      <c r="X52" s="5">
        <v>1000</v>
      </c>
      <c r="Y52" s="5" t="s">
        <v>22</v>
      </c>
      <c r="Z52" s="5">
        <f>(ROW(AB52)-ROW($AB$2)+0.5)/COUNT($AB$2:$AB$112)</f>
        <v>0.45495495495495497</v>
      </c>
      <c r="AA52" s="5">
        <f>_xlfn.NORM.S.INV(Z52)</f>
        <v>-0.11315217624074865</v>
      </c>
      <c r="AB52" s="5">
        <v>175</v>
      </c>
      <c r="AC52" s="5">
        <f t="shared" si="0"/>
        <v>0.45495495495495497</v>
      </c>
      <c r="AD52" s="5">
        <f t="shared" si="1"/>
        <v>-0.11315217624074865</v>
      </c>
      <c r="AE52" s="7">
        <v>1.5</v>
      </c>
      <c r="AF52" s="5"/>
    </row>
    <row r="53" spans="1:32" x14ac:dyDescent="0.3">
      <c r="A53" s="5">
        <v>80</v>
      </c>
      <c r="B53" s="5" t="s">
        <v>12</v>
      </c>
      <c r="C53" s="5">
        <f>(ROW(E53)-1)/(COUNT($E$2:$E$112)+1)</f>
        <v>0.4642857142857143</v>
      </c>
      <c r="D53" s="5">
        <f>_xlfn.NORM.S.INV(C53)</f>
        <v>-8.9642351075762544E-2</v>
      </c>
      <c r="E53" s="5">
        <v>23</v>
      </c>
      <c r="F53" s="5" t="s">
        <v>13</v>
      </c>
      <c r="G53" s="5" t="s">
        <v>31</v>
      </c>
      <c r="H53" s="5" t="s">
        <v>26</v>
      </c>
      <c r="I53" s="5">
        <f>(ROW(K53)-ROW($K$2)+0.5)/COUNT($K$2:$K$112)</f>
        <v>0.46396396396396394</v>
      </c>
      <c r="J53" s="5">
        <f>_xlfn.NORM.S.INV(I53)</f>
        <v>-9.0452135978168868E-2</v>
      </c>
      <c r="K53" s="6">
        <v>3</v>
      </c>
      <c r="L53" s="5" t="s">
        <v>21</v>
      </c>
      <c r="M53" s="5">
        <f>(ROW(O53)-ROW($O$2)+0.5)/COUNT($O$2:$O$112)</f>
        <v>0.46396396396396394</v>
      </c>
      <c r="N53" s="5">
        <f>_xlfn.NORM.S.INV(M53)</f>
        <v>-9.0452135978168868E-2</v>
      </c>
      <c r="O53" s="7">
        <v>50</v>
      </c>
      <c r="P53" s="7">
        <f>(ROW(R53)-ROW($R$2)+0.5)/COUNT($R$2:$R$112)</f>
        <v>0.46396396396396394</v>
      </c>
      <c r="Q53" s="7">
        <f>_xlfn.NORM.S.INV(P53)</f>
        <v>-9.0452135978168868E-2</v>
      </c>
      <c r="R53" s="5">
        <v>5</v>
      </c>
      <c r="S53" s="5">
        <f>(ROW(U53)-ROW($U$2)+0.5)/COUNT($U$2:$U$112)</f>
        <v>0.46396396396396394</v>
      </c>
      <c r="T53" s="5">
        <f>_xlfn.NORM.S.INV(S53)</f>
        <v>-9.0452135978168868E-2</v>
      </c>
      <c r="U53" s="5">
        <v>5</v>
      </c>
      <c r="V53" s="5">
        <f>(ROW(X53)-ROW($X$2)+0.5)/COUNT($T$2:$T$112)</f>
        <v>0.46396396396396394</v>
      </c>
      <c r="W53" s="5">
        <f>_xlfn.NORM.S.INV(V53)</f>
        <v>-9.0452135978168868E-2</v>
      </c>
      <c r="X53" s="5">
        <v>1000</v>
      </c>
      <c r="Y53" s="5" t="s">
        <v>17</v>
      </c>
      <c r="Z53" s="5">
        <f>(ROW(AB53)-ROW($AB$2)+0.5)/COUNT($AB$2:$AB$112)</f>
        <v>0.46396396396396394</v>
      </c>
      <c r="AA53" s="5">
        <f>_xlfn.NORM.S.INV(Z53)</f>
        <v>-9.0452135978168868E-2</v>
      </c>
      <c r="AB53" s="5">
        <v>200</v>
      </c>
      <c r="AC53" s="5">
        <f t="shared" si="0"/>
        <v>0.46396396396396394</v>
      </c>
      <c r="AD53" s="5">
        <f t="shared" si="1"/>
        <v>-9.0452135978168868E-2</v>
      </c>
      <c r="AE53" s="7">
        <v>1.5</v>
      </c>
      <c r="AF53" s="5"/>
    </row>
    <row r="54" spans="1:32" x14ac:dyDescent="0.3">
      <c r="A54" s="5">
        <v>24</v>
      </c>
      <c r="B54" s="5" t="s">
        <v>18</v>
      </c>
      <c r="C54" s="5">
        <f>(ROW(E54)-1)/(COUNT($E$2:$E$112)+1)</f>
        <v>0.4732142857142857</v>
      </c>
      <c r="D54" s="5">
        <f>_xlfn.NORM.S.INV(C54)</f>
        <v>-6.7192354710227428E-2</v>
      </c>
      <c r="E54" s="5">
        <v>20</v>
      </c>
      <c r="F54" s="5" t="s">
        <v>19</v>
      </c>
      <c r="G54" s="5" t="s">
        <v>26</v>
      </c>
      <c r="H54" s="5" t="s">
        <v>15</v>
      </c>
      <c r="I54" s="5">
        <f>(ROW(K54)-ROW($K$2)+0.5)/COUNT($K$2:$K$112)</f>
        <v>0.47297297297297297</v>
      </c>
      <c r="J54" s="5">
        <f>_xlfn.NORM.S.INV(I54)</f>
        <v>-6.7798615441235721E-2</v>
      </c>
      <c r="K54" s="6">
        <v>2.6</v>
      </c>
      <c r="L54" s="5" t="s">
        <v>16</v>
      </c>
      <c r="M54" s="5">
        <f>(ROW(O54)-ROW($O$2)+0.5)/COUNT($O$2:$O$112)</f>
        <v>0.47297297297297297</v>
      </c>
      <c r="N54" s="5">
        <f>_xlfn.NORM.S.INV(M54)</f>
        <v>-6.7798615441235721E-2</v>
      </c>
      <c r="O54" s="7">
        <v>50</v>
      </c>
      <c r="P54" s="7">
        <f>(ROW(R54)-ROW($R$2)+0.5)/COUNT($R$2:$R$112)</f>
        <v>0.47297297297297297</v>
      </c>
      <c r="Q54" s="7">
        <f>_xlfn.NORM.S.INV(P54)</f>
        <v>-6.7798615441235721E-2</v>
      </c>
      <c r="R54" s="5">
        <v>8</v>
      </c>
      <c r="S54" s="5">
        <f>(ROW(U54)-ROW($U$2)+0.5)/COUNT($U$2:$U$112)</f>
        <v>0.47297297297297297</v>
      </c>
      <c r="T54" s="5">
        <f>_xlfn.NORM.S.INV(S54)</f>
        <v>-6.7798615441235721E-2</v>
      </c>
      <c r="U54" s="5">
        <v>5</v>
      </c>
      <c r="V54" s="5">
        <f>(ROW(X54)-ROW($X$2)+0.5)/COUNT($T$2:$T$112)</f>
        <v>0.47297297297297297</v>
      </c>
      <c r="W54" s="5">
        <f>_xlfn.NORM.S.INV(V54)</f>
        <v>-6.7798615441235721E-2</v>
      </c>
      <c r="X54" s="5">
        <v>900</v>
      </c>
      <c r="Y54" s="5" t="s">
        <v>17</v>
      </c>
      <c r="Z54" s="5">
        <f>(ROW(AB54)-ROW($AB$2)+0.5)/COUNT($AB$2:$AB$112)</f>
        <v>0.47297297297297297</v>
      </c>
      <c r="AA54" s="5">
        <f>_xlfn.NORM.S.INV(Z54)</f>
        <v>-6.7798615441235721E-2</v>
      </c>
      <c r="AB54" s="5">
        <v>600</v>
      </c>
      <c r="AC54" s="5">
        <f t="shared" si="0"/>
        <v>0.47297297297297297</v>
      </c>
      <c r="AD54" s="5">
        <f t="shared" si="1"/>
        <v>-6.7798615441235721E-2</v>
      </c>
      <c r="AE54" s="7">
        <v>1.5</v>
      </c>
      <c r="AF54" s="5"/>
    </row>
    <row r="55" spans="1:32" x14ac:dyDescent="0.3">
      <c r="A55" s="5">
        <v>62</v>
      </c>
      <c r="B55" s="5" t="s">
        <v>12</v>
      </c>
      <c r="C55" s="5">
        <f>(ROW(E55)-1)/(COUNT($E$2:$E$112)+1)</f>
        <v>0.48214285714285715</v>
      </c>
      <c r="D55" s="5">
        <f>_xlfn.NORM.S.INV(C55)</f>
        <v>-4.477617669551625E-2</v>
      </c>
      <c r="E55" s="5">
        <v>22</v>
      </c>
      <c r="F55" s="5" t="s">
        <v>19</v>
      </c>
      <c r="G55" s="5" t="s">
        <v>28</v>
      </c>
      <c r="H55" s="5" t="s">
        <v>30</v>
      </c>
      <c r="I55" s="5">
        <f>(ROW(K55)-ROW($K$2)+0.5)/COUNT($K$2:$K$112)</f>
        <v>0.481981981981982</v>
      </c>
      <c r="J55" s="5">
        <f>_xlfn.NORM.S.INV(I55)</f>
        <v>-4.5179839027475119E-2</v>
      </c>
      <c r="K55" s="6">
        <v>3.2</v>
      </c>
      <c r="L55" s="5" t="s">
        <v>21</v>
      </c>
      <c r="M55" s="5">
        <f>(ROW(O55)-ROW($O$2)+0.5)/COUNT($O$2:$O$112)</f>
        <v>0.481981981981982</v>
      </c>
      <c r="N55" s="5">
        <f>_xlfn.NORM.S.INV(M55)</f>
        <v>-4.5179839027475119E-2</v>
      </c>
      <c r="O55" s="7">
        <v>75</v>
      </c>
      <c r="P55" s="7">
        <f>(ROW(R55)-ROW($R$2)+0.5)/COUNT($R$2:$R$112)</f>
        <v>0.481981981981982</v>
      </c>
      <c r="Q55" s="7">
        <f>_xlfn.NORM.S.INV(P55)</f>
        <v>-4.5179839027475119E-2</v>
      </c>
      <c r="R55" s="5">
        <v>2</v>
      </c>
      <c r="S55" s="5">
        <f>(ROW(U55)-ROW($U$2)+0.5)/COUNT($U$2:$U$112)</f>
        <v>0.481981981981982</v>
      </c>
      <c r="T55" s="5">
        <f>_xlfn.NORM.S.INV(S55)</f>
        <v>-4.5179839027475119E-2</v>
      </c>
      <c r="U55" s="5">
        <v>3</v>
      </c>
      <c r="V55" s="5">
        <f>(ROW(X55)-ROW($X$2)+0.5)/COUNT($T$2:$T$112)</f>
        <v>0.481981981981982</v>
      </c>
      <c r="W55" s="5">
        <f>_xlfn.NORM.S.INV(V55)</f>
        <v>-4.5179839027475119E-2</v>
      </c>
      <c r="X55" s="5">
        <v>750</v>
      </c>
      <c r="Y55" s="5" t="s">
        <v>17</v>
      </c>
      <c r="Z55" s="5">
        <f>(ROW(AB55)-ROW($AB$2)+0.5)/COUNT($AB$2:$AB$112)</f>
        <v>0.481981981981982</v>
      </c>
      <c r="AA55" s="5">
        <f>_xlfn.NORM.S.INV(Z55)</f>
        <v>-4.5179839027475119E-2</v>
      </c>
      <c r="AB55" s="5">
        <v>0</v>
      </c>
      <c r="AC55" s="5">
        <f t="shared" si="0"/>
        <v>0.481981981981982</v>
      </c>
      <c r="AD55" s="5">
        <f t="shared" si="1"/>
        <v>-4.5179839027475119E-2</v>
      </c>
      <c r="AE55" s="7">
        <v>2</v>
      </c>
      <c r="AF55" s="5"/>
    </row>
    <row r="56" spans="1:32" x14ac:dyDescent="0.3">
      <c r="A56" s="5">
        <v>94</v>
      </c>
      <c r="B56" s="5" t="s">
        <v>12</v>
      </c>
      <c r="C56" s="5">
        <f>(ROW(E56)-1)/(COUNT($E$2:$E$112)+1)</f>
        <v>0.49107142857142855</v>
      </c>
      <c r="D56" s="5">
        <f>_xlfn.NORM.S.INV(C56)</f>
        <v>-2.2382478299418009E-2</v>
      </c>
      <c r="E56" s="5">
        <v>24</v>
      </c>
      <c r="F56" s="5" t="s">
        <v>19</v>
      </c>
      <c r="G56" s="5" t="s">
        <v>32</v>
      </c>
      <c r="H56" s="5" t="s">
        <v>15</v>
      </c>
      <c r="I56" s="5">
        <f>(ROW(K56)-ROW($K$2)+0.5)/COUNT($K$2:$K$112)</f>
        <v>0.49099099099099097</v>
      </c>
      <c r="J56" s="5">
        <f>_xlfn.NORM.S.INV(I56)</f>
        <v>-2.2584156380876554E-2</v>
      </c>
      <c r="K56" s="6">
        <v>3.8</v>
      </c>
      <c r="L56" s="5" t="s">
        <v>16</v>
      </c>
      <c r="M56" s="5">
        <f>(ROW(O56)-ROW($O$2)+0.5)/COUNT($O$2:$O$112)</f>
        <v>0.49099099099099097</v>
      </c>
      <c r="N56" s="5">
        <f>_xlfn.NORM.S.INV(M56)</f>
        <v>-2.2584156380876554E-2</v>
      </c>
      <c r="O56" s="7">
        <v>65</v>
      </c>
      <c r="P56" s="7">
        <f>(ROW(R56)-ROW($R$2)+0.5)/COUNT($R$2:$R$112)</f>
        <v>0.49099099099099097</v>
      </c>
      <c r="Q56" s="7">
        <f>_xlfn.NORM.S.INV(P56)</f>
        <v>-2.2584156380876554E-2</v>
      </c>
      <c r="R56" s="5">
        <v>3</v>
      </c>
      <c r="S56" s="5">
        <f>(ROW(U56)-ROW($U$2)+0.5)/COUNT($U$2:$U$112)</f>
        <v>0.49099099099099097</v>
      </c>
      <c r="T56" s="5">
        <f>_xlfn.NORM.S.INV(S56)</f>
        <v>-2.2584156380876554E-2</v>
      </c>
      <c r="U56" s="5">
        <v>5</v>
      </c>
      <c r="V56" s="5">
        <f>(ROW(X56)-ROW($X$2)+0.5)/COUNT($T$2:$T$112)</f>
        <v>0.49099099099099097</v>
      </c>
      <c r="W56" s="5">
        <f>_xlfn.NORM.S.INV(V56)</f>
        <v>-2.2584156380876554E-2</v>
      </c>
      <c r="X56" s="5">
        <v>800</v>
      </c>
      <c r="Y56" s="5" t="s">
        <v>22</v>
      </c>
      <c r="Z56" s="5">
        <f>(ROW(AB56)-ROW($AB$2)+0.5)/COUNT($AB$2:$AB$112)</f>
        <v>0.49099099099099097</v>
      </c>
      <c r="AA56" s="5">
        <f>_xlfn.NORM.S.INV(Z56)</f>
        <v>-2.2584156380876554E-2</v>
      </c>
      <c r="AB56" s="5">
        <v>30</v>
      </c>
      <c r="AC56" s="5">
        <f t="shared" si="0"/>
        <v>0.49099099099099097</v>
      </c>
      <c r="AD56" s="5">
        <f t="shared" si="1"/>
        <v>-2.2584156380876554E-2</v>
      </c>
      <c r="AE56" s="7">
        <v>2</v>
      </c>
      <c r="AF56" s="5"/>
    </row>
    <row r="57" spans="1:32" x14ac:dyDescent="0.3">
      <c r="A57" s="5">
        <v>14</v>
      </c>
      <c r="B57" s="5" t="s">
        <v>18</v>
      </c>
      <c r="C57" s="5">
        <f>(ROW(E57)-1)/(COUNT($E$2:$E$112)+1)</f>
        <v>0.5</v>
      </c>
      <c r="D57" s="5">
        <f>_xlfn.NORM.S.INV(C57)</f>
        <v>0</v>
      </c>
      <c r="E57" s="5">
        <v>19</v>
      </c>
      <c r="F57" s="5" t="s">
        <v>19</v>
      </c>
      <c r="G57" s="5" t="s">
        <v>31</v>
      </c>
      <c r="H57" s="5" t="s">
        <v>26</v>
      </c>
      <c r="I57" s="5">
        <f>(ROW(K57)-ROW($K$2)+0.5)/COUNT($K$2:$K$112)</f>
        <v>0.5</v>
      </c>
      <c r="J57" s="5">
        <f>_xlfn.NORM.S.INV(I57)</f>
        <v>0</v>
      </c>
      <c r="K57" s="6">
        <v>3.1</v>
      </c>
      <c r="L57" s="5" t="s">
        <v>21</v>
      </c>
      <c r="M57" s="5">
        <f>(ROW(O57)-ROW($O$2)+0.5)/COUNT($O$2:$O$112)</f>
        <v>0.5</v>
      </c>
      <c r="N57" s="5">
        <f>_xlfn.NORM.S.INV(M57)</f>
        <v>0</v>
      </c>
      <c r="O57" s="7">
        <v>45</v>
      </c>
      <c r="P57" s="7">
        <f>(ROW(R57)-ROW($R$2)+0.5)/COUNT($R$2:$R$112)</f>
        <v>0.5</v>
      </c>
      <c r="Q57" s="7">
        <f>_xlfn.NORM.S.INV(P57)</f>
        <v>0</v>
      </c>
      <c r="R57" s="5">
        <v>1</v>
      </c>
      <c r="S57" s="5">
        <f>(ROW(U57)-ROW($U$2)+0.5)/COUNT($U$2:$U$112)</f>
        <v>0.5</v>
      </c>
      <c r="T57" s="5">
        <f>_xlfn.NORM.S.INV(S57)</f>
        <v>0</v>
      </c>
      <c r="U57" s="5">
        <v>3</v>
      </c>
      <c r="V57" s="5">
        <f>(ROW(X57)-ROW($X$2)+0.5)/COUNT($T$2:$T$112)</f>
        <v>0.5</v>
      </c>
      <c r="W57" s="5">
        <f>_xlfn.NORM.S.INV(V57)</f>
        <v>0</v>
      </c>
      <c r="X57" s="5">
        <v>900</v>
      </c>
      <c r="Y57" s="5" t="s">
        <v>17</v>
      </c>
      <c r="Z57" s="5">
        <f>(ROW(AB57)-ROW($AB$2)+0.5)/COUNT($AB$2:$AB$112)</f>
        <v>0.5</v>
      </c>
      <c r="AA57" s="5">
        <f>_xlfn.NORM.S.INV(Z57)</f>
        <v>0</v>
      </c>
      <c r="AB57" s="5">
        <v>150</v>
      </c>
      <c r="AC57" s="5">
        <f t="shared" si="0"/>
        <v>0.5</v>
      </c>
      <c r="AD57" s="5">
        <f t="shared" si="1"/>
        <v>0</v>
      </c>
      <c r="AE57" s="7">
        <v>2</v>
      </c>
      <c r="AF57" s="5"/>
    </row>
    <row r="58" spans="1:32" x14ac:dyDescent="0.3">
      <c r="A58" s="5">
        <v>1</v>
      </c>
      <c r="B58" s="5" t="s">
        <v>12</v>
      </c>
      <c r="C58" s="5">
        <f>(ROW(E58)-1)/(COUNT($E$2:$E$112)+1)</f>
        <v>0.5089285714285714</v>
      </c>
      <c r="D58" s="5">
        <f>_xlfn.NORM.S.INV(C58)</f>
        <v>2.238247829941787E-2</v>
      </c>
      <c r="E58" s="5">
        <v>18</v>
      </c>
      <c r="F58" s="5" t="s">
        <v>13</v>
      </c>
      <c r="G58" s="5" t="s">
        <v>14</v>
      </c>
      <c r="H58" s="5" t="s">
        <v>15</v>
      </c>
      <c r="I58" s="5">
        <f>(ROW(K58)-ROW($K$2)+0.5)/COUNT($K$2:$K$112)</f>
        <v>0.50900900900900903</v>
      </c>
      <c r="J58" s="5">
        <f>_xlfn.NORM.S.INV(I58)</f>
        <v>2.2584156380876554E-2</v>
      </c>
      <c r="K58" s="6">
        <v>2.88</v>
      </c>
      <c r="L58" s="5" t="s">
        <v>16</v>
      </c>
      <c r="M58" s="5">
        <f>(ROW(O58)-ROW($O$2)+0.5)/COUNT($O$2:$O$112)</f>
        <v>0.50900900900900903</v>
      </c>
      <c r="N58" s="5">
        <f>_xlfn.NORM.S.INV(M58)</f>
        <v>2.2584156380876554E-2</v>
      </c>
      <c r="O58" s="7">
        <v>55</v>
      </c>
      <c r="P58" s="7">
        <f>(ROW(R58)-ROW($R$2)+0.5)/COUNT($R$2:$R$112)</f>
        <v>0.50900900900900903</v>
      </c>
      <c r="Q58" s="7">
        <f>_xlfn.NORM.S.INV(P58)</f>
        <v>2.2584156380876554E-2</v>
      </c>
      <c r="R58" s="5">
        <v>5</v>
      </c>
      <c r="S58" s="5">
        <f>(ROW(U58)-ROW($U$2)+0.5)/COUNT($U$2:$U$112)</f>
        <v>0.50900900900900903</v>
      </c>
      <c r="T58" s="5">
        <f>_xlfn.NORM.S.INV(S58)</f>
        <v>2.2584156380876554E-2</v>
      </c>
      <c r="U58" s="5">
        <v>3</v>
      </c>
      <c r="V58" s="5">
        <f>(ROW(X58)-ROW($X$2)+0.5)/COUNT($T$2:$T$112)</f>
        <v>0.50900900900900903</v>
      </c>
      <c r="W58" s="5">
        <f>_xlfn.NORM.S.INV(V58)</f>
        <v>2.2584156380876554E-2</v>
      </c>
      <c r="X58" s="5">
        <v>850</v>
      </c>
      <c r="Y58" s="5" t="s">
        <v>17</v>
      </c>
      <c r="Z58" s="5">
        <f>(ROW(AB58)-ROW($AB$2)+0.5)/COUNT($AB$2:$AB$112)</f>
        <v>0.50900900900900903</v>
      </c>
      <c r="AA58" s="5">
        <f>_xlfn.NORM.S.INV(Z58)</f>
        <v>2.2584156380876554E-2</v>
      </c>
      <c r="AB58" s="5">
        <v>200</v>
      </c>
      <c r="AC58" s="5">
        <f t="shared" si="0"/>
        <v>0.50900900900900903</v>
      </c>
      <c r="AD58" s="5">
        <f t="shared" si="1"/>
        <v>2.2584156380876554E-2</v>
      </c>
      <c r="AE58" s="7">
        <v>2</v>
      </c>
      <c r="AF58" s="5"/>
    </row>
    <row r="59" spans="1:32" x14ac:dyDescent="0.3">
      <c r="A59" s="5">
        <v>27</v>
      </c>
      <c r="B59" s="5" t="s">
        <v>18</v>
      </c>
      <c r="C59" s="5">
        <f>(ROW(E59)-1)/(COUNT($E$2:$E$112)+1)</f>
        <v>0.5178571428571429</v>
      </c>
      <c r="D59" s="5">
        <f>_xlfn.NORM.S.INV(C59)</f>
        <v>4.4776176695516381E-2</v>
      </c>
      <c r="E59" s="5">
        <v>20</v>
      </c>
      <c r="F59" s="5" t="s">
        <v>29</v>
      </c>
      <c r="G59" s="5" t="s">
        <v>28</v>
      </c>
      <c r="H59" s="5" t="s">
        <v>15</v>
      </c>
      <c r="I59" s="5">
        <f>(ROW(K59)-ROW($K$2)+0.5)/COUNT($K$2:$K$112)</f>
        <v>0.51801801801801806</v>
      </c>
      <c r="J59" s="5">
        <f>_xlfn.NORM.S.INV(I59)</f>
        <v>4.5179839027475258E-2</v>
      </c>
      <c r="K59" s="6">
        <v>3.1</v>
      </c>
      <c r="L59" s="5" t="s">
        <v>16</v>
      </c>
      <c r="M59" s="5">
        <f>(ROW(O59)-ROW($O$2)+0.5)/COUNT($O$2:$O$112)</f>
        <v>0.51801801801801806</v>
      </c>
      <c r="N59" s="5">
        <f>_xlfn.NORM.S.INV(M59)</f>
        <v>4.5179839027475258E-2</v>
      </c>
      <c r="O59" s="7">
        <v>70</v>
      </c>
      <c r="P59" s="7">
        <f>(ROW(R59)-ROW($R$2)+0.5)/COUNT($R$2:$R$112)</f>
        <v>0.51801801801801806</v>
      </c>
      <c r="Q59" s="7">
        <f>_xlfn.NORM.S.INV(P59)</f>
        <v>4.5179839027475258E-2</v>
      </c>
      <c r="R59" s="5">
        <v>4</v>
      </c>
      <c r="S59" s="5">
        <f>(ROW(U59)-ROW($U$2)+0.5)/COUNT($U$2:$U$112)</f>
        <v>0.51801801801801806</v>
      </c>
      <c r="T59" s="5">
        <f>_xlfn.NORM.S.INV(S59)</f>
        <v>4.5179839027475258E-2</v>
      </c>
      <c r="U59" s="5">
        <v>5</v>
      </c>
      <c r="V59" s="5">
        <f>(ROW(X59)-ROW($X$2)+0.5)/COUNT($T$2:$T$112)</f>
        <v>0.51801801801801806</v>
      </c>
      <c r="W59" s="5">
        <f>_xlfn.NORM.S.INV(V59)</f>
        <v>4.5179839027475258E-2</v>
      </c>
      <c r="X59" s="5">
        <v>875</v>
      </c>
      <c r="Y59" s="5" t="s">
        <v>17</v>
      </c>
      <c r="Z59" s="5">
        <f>(ROW(AB59)-ROW($AB$2)+0.5)/COUNT($AB$2:$AB$112)</f>
        <v>0.51801801801801806</v>
      </c>
      <c r="AA59" s="5">
        <f>_xlfn.NORM.S.INV(Z59)</f>
        <v>4.5179839027475258E-2</v>
      </c>
      <c r="AB59" s="5">
        <v>300</v>
      </c>
      <c r="AC59" s="5">
        <f t="shared" si="0"/>
        <v>0.51801801801801806</v>
      </c>
      <c r="AD59" s="5">
        <f t="shared" si="1"/>
        <v>4.5179839027475258E-2</v>
      </c>
      <c r="AE59" s="7">
        <v>2</v>
      </c>
      <c r="AF59" s="5"/>
    </row>
    <row r="60" spans="1:32" x14ac:dyDescent="0.3">
      <c r="A60" s="5">
        <v>19</v>
      </c>
      <c r="B60" s="5" t="s">
        <v>18</v>
      </c>
      <c r="C60" s="5">
        <f>(ROW(E60)-1)/(COUNT($E$2:$E$112)+1)</f>
        <v>0.5267857142857143</v>
      </c>
      <c r="D60" s="5">
        <f>_xlfn.NORM.S.INV(C60)</f>
        <v>6.7192354710227428E-2</v>
      </c>
      <c r="E60" s="5">
        <v>20</v>
      </c>
      <c r="F60" s="5" t="s">
        <v>13</v>
      </c>
      <c r="G60" s="5" t="s">
        <v>28</v>
      </c>
      <c r="H60" s="5" t="s">
        <v>15</v>
      </c>
      <c r="I60" s="5">
        <f>(ROW(K60)-ROW($K$2)+0.5)/COUNT($K$2:$K$112)</f>
        <v>0.52702702702702697</v>
      </c>
      <c r="J60" s="5">
        <f>_xlfn.NORM.S.INV(I60)</f>
        <v>6.7798615441235568E-2</v>
      </c>
      <c r="K60" s="6">
        <v>3.5</v>
      </c>
      <c r="L60" s="5" t="s">
        <v>21</v>
      </c>
      <c r="M60" s="5">
        <f>(ROW(O60)-ROW($O$2)+0.5)/COUNT($O$2:$O$112)</f>
        <v>0.52702702702702697</v>
      </c>
      <c r="N60" s="5">
        <f>_xlfn.NORM.S.INV(M60)</f>
        <v>6.7798615441235568E-2</v>
      </c>
      <c r="O60" s="7">
        <v>57</v>
      </c>
      <c r="P60" s="7">
        <f>(ROW(R60)-ROW($R$2)+0.5)/COUNT($R$2:$R$112)</f>
        <v>0.52702702702702697</v>
      </c>
      <c r="Q60" s="7">
        <f>_xlfn.NORM.S.INV(P60)</f>
        <v>6.7798615441235568E-2</v>
      </c>
      <c r="R60" s="5">
        <v>4</v>
      </c>
      <c r="S60" s="5">
        <f>(ROW(U60)-ROW($U$2)+0.5)/COUNT($U$2:$U$112)</f>
        <v>0.52702702702702697</v>
      </c>
      <c r="T60" s="5">
        <f>_xlfn.NORM.S.INV(S60)</f>
        <v>6.7798615441235568E-2</v>
      </c>
      <c r="U60" s="5">
        <v>5</v>
      </c>
      <c r="V60" s="5">
        <f>(ROW(X60)-ROW($X$2)+0.5)/COUNT($T$2:$T$112)</f>
        <v>0.52702702702702697</v>
      </c>
      <c r="W60" s="5">
        <f>_xlfn.NORM.S.INV(V60)</f>
        <v>6.7798615441235568E-2</v>
      </c>
      <c r="X60" s="5">
        <v>1000</v>
      </c>
      <c r="Y60" s="5" t="s">
        <v>17</v>
      </c>
      <c r="Z60" s="5">
        <f>(ROW(AB60)-ROW($AB$2)+0.5)/COUNT($AB$2:$AB$112)</f>
        <v>0.52702702702702697</v>
      </c>
      <c r="AA60" s="5">
        <f>_xlfn.NORM.S.INV(Z60)</f>
        <v>6.7798615441235568E-2</v>
      </c>
      <c r="AB60" s="5">
        <v>300</v>
      </c>
      <c r="AC60" s="5">
        <f t="shared" si="0"/>
        <v>0.52702702702702697</v>
      </c>
      <c r="AD60" s="5">
        <f t="shared" si="1"/>
        <v>6.7798615441235568E-2</v>
      </c>
      <c r="AE60" s="7">
        <v>2</v>
      </c>
      <c r="AF60" s="5"/>
    </row>
    <row r="61" spans="1:32" x14ac:dyDescent="0.3">
      <c r="A61" s="5">
        <v>88</v>
      </c>
      <c r="B61" s="5" t="s">
        <v>12</v>
      </c>
      <c r="C61" s="5">
        <f>(ROW(E61)-1)/(COUNT($E$2:$E$112)+1)</f>
        <v>0.5357142857142857</v>
      </c>
      <c r="D61" s="5">
        <f>_xlfn.NORM.S.INV(C61)</f>
        <v>8.9642351075762544E-2</v>
      </c>
      <c r="E61" s="5">
        <v>24</v>
      </c>
      <c r="F61" s="5" t="s">
        <v>13</v>
      </c>
      <c r="G61" s="5" t="s">
        <v>31</v>
      </c>
      <c r="H61" s="5" t="s">
        <v>26</v>
      </c>
      <c r="I61" s="5">
        <f>(ROW(K61)-ROW($K$2)+0.5)/COUNT($K$2:$K$112)</f>
        <v>0.536036036036036</v>
      </c>
      <c r="J61" s="5">
        <f>_xlfn.NORM.S.INV(I61)</f>
        <v>9.0452135978168716E-2</v>
      </c>
      <c r="K61" s="6">
        <v>3.1</v>
      </c>
      <c r="L61" s="5" t="s">
        <v>27</v>
      </c>
      <c r="M61" s="5">
        <f>(ROW(O61)-ROW($O$2)+0.5)/COUNT($O$2:$O$112)</f>
        <v>0.536036036036036</v>
      </c>
      <c r="N61" s="5">
        <f>_xlfn.NORM.S.INV(M61)</f>
        <v>9.0452135978168716E-2</v>
      </c>
      <c r="O61" s="7">
        <v>50</v>
      </c>
      <c r="P61" s="7">
        <f>(ROW(R61)-ROW($R$2)+0.5)/COUNT($R$2:$R$112)</f>
        <v>0.536036036036036</v>
      </c>
      <c r="Q61" s="7">
        <f>_xlfn.NORM.S.INV(P61)</f>
        <v>9.0452135978168716E-2</v>
      </c>
      <c r="R61" s="5">
        <v>3</v>
      </c>
      <c r="S61" s="5">
        <f>(ROW(U61)-ROW($U$2)+0.5)/COUNT($U$2:$U$112)</f>
        <v>0.536036036036036</v>
      </c>
      <c r="T61" s="5">
        <f>_xlfn.NORM.S.INV(S61)</f>
        <v>9.0452135978168716E-2</v>
      </c>
      <c r="U61" s="5">
        <v>4</v>
      </c>
      <c r="V61" s="5">
        <f>(ROW(X61)-ROW($X$2)+0.5)/COUNT($T$2:$T$112)</f>
        <v>0.536036036036036</v>
      </c>
      <c r="W61" s="5">
        <f>_xlfn.NORM.S.INV(V61)</f>
        <v>9.0452135978168716E-2</v>
      </c>
      <c r="X61" s="5">
        <v>575</v>
      </c>
      <c r="Y61" s="5" t="s">
        <v>17</v>
      </c>
      <c r="Z61" s="5">
        <f>(ROW(AB61)-ROW($AB$2)+0.5)/COUNT($AB$2:$AB$112)</f>
        <v>0.536036036036036</v>
      </c>
      <c r="AA61" s="5">
        <f>_xlfn.NORM.S.INV(Z61)</f>
        <v>9.0452135978168716E-2</v>
      </c>
      <c r="AB61" s="5">
        <v>400</v>
      </c>
      <c r="AC61" s="5">
        <f t="shared" si="0"/>
        <v>0.536036036036036</v>
      </c>
      <c r="AD61" s="5">
        <f t="shared" si="1"/>
        <v>9.0452135978168716E-2</v>
      </c>
      <c r="AE61" s="7">
        <v>2</v>
      </c>
      <c r="AF61" s="5"/>
    </row>
    <row r="62" spans="1:32" x14ac:dyDescent="0.3">
      <c r="A62" s="5">
        <v>81</v>
      </c>
      <c r="B62" s="5" t="s">
        <v>12</v>
      </c>
      <c r="C62" s="5">
        <f>(ROW(E62)-1)/(COUNT($E$2:$E$112)+1)</f>
        <v>0.5446428571428571</v>
      </c>
      <c r="D62" s="5">
        <f>_xlfn.NORM.S.INV(C62)</f>
        <v>0.11213762424542981</v>
      </c>
      <c r="E62" s="5">
        <v>23</v>
      </c>
      <c r="F62" s="5" t="s">
        <v>23</v>
      </c>
      <c r="G62" s="5" t="s">
        <v>26</v>
      </c>
      <c r="H62" s="5" t="s">
        <v>26</v>
      </c>
      <c r="I62" s="5">
        <f>(ROW(K62)-ROW($K$2)+0.5)/COUNT($K$2:$K$112)</f>
        <v>0.54504504504504503</v>
      </c>
      <c r="J62" s="5">
        <f>_xlfn.NORM.S.INV(I62)</f>
        <v>0.11315217624074865</v>
      </c>
      <c r="K62" s="6">
        <v>2.8</v>
      </c>
      <c r="L62" s="5" t="s">
        <v>27</v>
      </c>
      <c r="M62" s="5">
        <f>(ROW(O62)-ROW($O$2)+0.5)/COUNT($O$2:$O$112)</f>
        <v>0.54504504504504503</v>
      </c>
      <c r="N62" s="5">
        <f>_xlfn.NORM.S.INV(M62)</f>
        <v>0.11315217624074865</v>
      </c>
      <c r="O62" s="7">
        <v>50</v>
      </c>
      <c r="P62" s="7">
        <f>(ROW(R62)-ROW($R$2)+0.5)/COUNT($R$2:$R$112)</f>
        <v>0.54504504504504503</v>
      </c>
      <c r="Q62" s="7">
        <f>_xlfn.NORM.S.INV(P62)</f>
        <v>0.11315217624074865</v>
      </c>
      <c r="R62" s="5">
        <v>8</v>
      </c>
      <c r="S62" s="5">
        <f>(ROW(U62)-ROW($U$2)+0.5)/COUNT($U$2:$U$112)</f>
        <v>0.54504504504504503</v>
      </c>
      <c r="T62" s="5">
        <f>_xlfn.NORM.S.INV(S62)</f>
        <v>0.11315217624074865</v>
      </c>
      <c r="U62" s="5">
        <v>4</v>
      </c>
      <c r="V62" s="5">
        <f>(ROW(X62)-ROW($X$2)+0.5)/COUNT($T$2:$T$112)</f>
        <v>0.54504504504504503</v>
      </c>
      <c r="W62" s="5">
        <f>_xlfn.NORM.S.INV(V62)</f>
        <v>0.11315217624074865</v>
      </c>
      <c r="X62" s="5">
        <v>850</v>
      </c>
      <c r="Y62" s="5" t="s">
        <v>25</v>
      </c>
      <c r="Z62" s="5">
        <f>(ROW(AB62)-ROW($AB$2)+0.5)/COUNT($AB$2:$AB$112)</f>
        <v>0.54504504504504503</v>
      </c>
      <c r="AA62" s="5">
        <f>_xlfn.NORM.S.INV(Z62)</f>
        <v>0.11315217624074865</v>
      </c>
      <c r="AB62" s="5">
        <v>650</v>
      </c>
      <c r="AC62" s="5">
        <f t="shared" si="0"/>
        <v>0.54504504504504503</v>
      </c>
      <c r="AD62" s="5">
        <f t="shared" si="1"/>
        <v>0.11315217624074865</v>
      </c>
      <c r="AE62" s="7">
        <v>2</v>
      </c>
      <c r="AF62" s="5"/>
    </row>
    <row r="63" spans="1:32" x14ac:dyDescent="0.3">
      <c r="A63" s="5">
        <v>103</v>
      </c>
      <c r="B63" s="5" t="s">
        <v>18</v>
      </c>
      <c r="C63" s="5">
        <f>(ROW(E63)-1)/(COUNT($E$2:$E$112)+1)</f>
        <v>0.5535714285714286</v>
      </c>
      <c r="D63" s="5">
        <f>_xlfn.NORM.S.INV(C63)</f>
        <v>0.13468979400891973</v>
      </c>
      <c r="E63" s="5">
        <v>26</v>
      </c>
      <c r="F63" s="5" t="s">
        <v>13</v>
      </c>
      <c r="G63" s="5" t="s">
        <v>31</v>
      </c>
      <c r="H63" s="5" t="s">
        <v>30</v>
      </c>
      <c r="I63" s="5">
        <f>(ROW(K63)-ROW($K$2)+0.5)/COUNT($K$2:$K$112)</f>
        <v>0.55405405405405406</v>
      </c>
      <c r="J63" s="5">
        <f>_xlfn.NORM.S.INV(I63)</f>
        <v>0.13591068064648049</v>
      </c>
      <c r="K63" s="6">
        <v>2.9</v>
      </c>
      <c r="L63" s="5" t="s">
        <v>21</v>
      </c>
      <c r="M63" s="5">
        <f>(ROW(O63)-ROW($O$2)+0.5)/COUNT($O$2:$O$112)</f>
        <v>0.55405405405405406</v>
      </c>
      <c r="N63" s="5">
        <f>_xlfn.NORM.S.INV(M63)</f>
        <v>0.13591068064648049</v>
      </c>
      <c r="O63" s="7">
        <v>40</v>
      </c>
      <c r="P63" s="7">
        <f>(ROW(R63)-ROW($R$2)+0.5)/COUNT($R$2:$R$112)</f>
        <v>0.55405405405405406</v>
      </c>
      <c r="Q63" s="7">
        <f>_xlfn.NORM.S.INV(P63)</f>
        <v>0.13591068064648049</v>
      </c>
      <c r="R63" s="5">
        <v>5</v>
      </c>
      <c r="S63" s="5">
        <f>(ROW(U63)-ROW($U$2)+0.5)/COUNT($U$2:$U$112)</f>
        <v>0.55405405405405406</v>
      </c>
      <c r="T63" s="5">
        <f>_xlfn.NORM.S.INV(S63)</f>
        <v>0.13591068064648049</v>
      </c>
      <c r="U63" s="5">
        <v>5</v>
      </c>
      <c r="V63" s="5">
        <f>(ROW(X63)-ROW($X$2)+0.5)/COUNT($T$2:$T$112)</f>
        <v>0.55405405405405406</v>
      </c>
      <c r="W63" s="5">
        <f>_xlfn.NORM.S.INV(V63)</f>
        <v>0.13591068064648049</v>
      </c>
      <c r="X63" s="5">
        <v>1100</v>
      </c>
      <c r="Y63" s="5" t="s">
        <v>25</v>
      </c>
      <c r="Z63" s="5">
        <f>(ROW(AB63)-ROW($AB$2)+0.5)/COUNT($AB$2:$AB$112)</f>
        <v>0.55405405405405406</v>
      </c>
      <c r="AA63" s="5">
        <f>_xlfn.NORM.S.INV(Z63)</f>
        <v>0.13591068064648049</v>
      </c>
      <c r="AB63" s="5">
        <v>400</v>
      </c>
      <c r="AC63" s="5">
        <f t="shared" si="0"/>
        <v>0.55405405405405406</v>
      </c>
      <c r="AD63" s="5">
        <f t="shared" si="1"/>
        <v>0.13591068064648049</v>
      </c>
      <c r="AE63" s="7">
        <v>2.5</v>
      </c>
      <c r="AF63" s="5"/>
    </row>
    <row r="64" spans="1:32" x14ac:dyDescent="0.3">
      <c r="A64" s="5">
        <v>55</v>
      </c>
      <c r="B64" s="5" t="s">
        <v>18</v>
      </c>
      <c r="C64" s="5">
        <f>(ROW(E64)-1)/(COUNT($E$2:$E$112)+1)</f>
        <v>0.5625</v>
      </c>
      <c r="D64" s="5">
        <f>_xlfn.NORM.S.INV(C64)</f>
        <v>0.1573106846101707</v>
      </c>
      <c r="E64" s="14">
        <v>21</v>
      </c>
      <c r="F64" s="5" t="s">
        <v>19</v>
      </c>
      <c r="G64" s="5" t="s">
        <v>14</v>
      </c>
      <c r="H64" s="5" t="s">
        <v>15</v>
      </c>
      <c r="I64" s="5">
        <f>(ROW(K64)-ROW($K$2)+0.5)/COUNT($K$2:$K$112)</f>
        <v>0.56306306306306309</v>
      </c>
      <c r="J64" s="5">
        <f>_xlfn.NORM.S.INV(I64)</f>
        <v>0.15873980759786754</v>
      </c>
      <c r="K64" s="6">
        <v>3.4</v>
      </c>
      <c r="L64" s="5" t="s">
        <v>21</v>
      </c>
      <c r="M64" s="5">
        <f>(ROW(O64)-ROW($O$2)+0.5)/COUNT($O$2:$O$112)</f>
        <v>0.56306306306306309</v>
      </c>
      <c r="N64" s="5">
        <f>_xlfn.NORM.S.INV(M64)</f>
        <v>0.15873980759786754</v>
      </c>
      <c r="O64" s="7">
        <v>55</v>
      </c>
      <c r="P64" s="7">
        <f>(ROW(R64)-ROW($R$2)+0.5)/COUNT($R$2:$R$112)</f>
        <v>0.56306306306306309</v>
      </c>
      <c r="Q64" s="7">
        <f>_xlfn.NORM.S.INV(P64)</f>
        <v>0.15873980759786754</v>
      </c>
      <c r="R64" s="5">
        <v>3</v>
      </c>
      <c r="S64" s="5">
        <f>(ROW(U64)-ROW($U$2)+0.5)/COUNT($U$2:$U$112)</f>
        <v>0.56306306306306309</v>
      </c>
      <c r="T64" s="5">
        <f>_xlfn.NORM.S.INV(S64)</f>
        <v>0.15873980759786754</v>
      </c>
      <c r="U64" s="5">
        <v>4</v>
      </c>
      <c r="V64" s="5">
        <f>(ROW(X64)-ROW($X$2)+0.5)/COUNT($T$2:$T$112)</f>
        <v>0.56306306306306309</v>
      </c>
      <c r="W64" s="5">
        <f>_xlfn.NORM.S.INV(V64)</f>
        <v>0.15873980759786754</v>
      </c>
      <c r="X64" s="5">
        <v>750</v>
      </c>
      <c r="Y64" s="5" t="s">
        <v>22</v>
      </c>
      <c r="Z64" s="5">
        <f>(ROW(AB64)-ROW($AB$2)+0.5)/COUNT($AB$2:$AB$112)</f>
        <v>0.56306306306306309</v>
      </c>
      <c r="AA64" s="5">
        <f>_xlfn.NORM.S.INV(Z64)</f>
        <v>0.15873980759786754</v>
      </c>
      <c r="AB64" s="5">
        <v>700</v>
      </c>
      <c r="AC64" s="5">
        <f t="shared" si="0"/>
        <v>0.56306306306306309</v>
      </c>
      <c r="AD64" s="5">
        <f t="shared" si="1"/>
        <v>0.15873980759786754</v>
      </c>
      <c r="AE64" s="7">
        <v>2.5</v>
      </c>
      <c r="AF64" s="5"/>
    </row>
    <row r="65" spans="1:32" x14ac:dyDescent="0.3">
      <c r="A65" s="5">
        <v>101</v>
      </c>
      <c r="B65" s="5" t="s">
        <v>12</v>
      </c>
      <c r="C65" s="5">
        <f>(ROW(E65)-1)/(COUNT($E$2:$E$112)+1)</f>
        <v>0.5714285714285714</v>
      </c>
      <c r="D65" s="5">
        <f>_xlfn.NORM.S.INV(C65)</f>
        <v>0.18001236979270496</v>
      </c>
      <c r="E65" s="5">
        <v>25</v>
      </c>
      <c r="F65" s="5" t="s">
        <v>29</v>
      </c>
      <c r="G65" s="5" t="s">
        <v>20</v>
      </c>
      <c r="H65" s="5" t="s">
        <v>15</v>
      </c>
      <c r="I65" s="5">
        <f>(ROW(K65)-ROW($K$2)+0.5)/COUNT($K$2:$K$112)</f>
        <v>0.57207207207207211</v>
      </c>
      <c r="J65" s="5">
        <f>_xlfn.NORM.S.INV(I65)</f>
        <v>0.18165197670757277</v>
      </c>
      <c r="K65" s="6">
        <v>3.2</v>
      </c>
      <c r="L65" s="5" t="s">
        <v>21</v>
      </c>
      <c r="M65" s="5">
        <f>(ROW(O65)-ROW($O$2)+0.5)/COUNT($O$2:$O$112)</f>
        <v>0.57207207207207211</v>
      </c>
      <c r="N65" s="5">
        <f>_xlfn.NORM.S.INV(M65)</f>
        <v>0.18165197670757277</v>
      </c>
      <c r="O65" s="7">
        <v>50</v>
      </c>
      <c r="P65" s="7">
        <f>(ROW(R65)-ROW($R$2)+0.5)/COUNT($R$2:$R$112)</f>
        <v>0.57207207207207211</v>
      </c>
      <c r="Q65" s="7">
        <f>_xlfn.NORM.S.INV(P65)</f>
        <v>0.18165197670757277</v>
      </c>
      <c r="R65" s="5">
        <v>4</v>
      </c>
      <c r="S65" s="5">
        <f>(ROW(U65)-ROW($U$2)+0.5)/COUNT($U$2:$U$112)</f>
        <v>0.57207207207207211</v>
      </c>
      <c r="T65" s="5">
        <f>_xlfn.NORM.S.INV(S65)</f>
        <v>0.18165197670757277</v>
      </c>
      <c r="U65" s="5">
        <v>6</v>
      </c>
      <c r="V65" s="5">
        <f>(ROW(X65)-ROW($X$2)+0.5)/COUNT($T$2:$T$112)</f>
        <v>0.57207207207207211</v>
      </c>
      <c r="W65" s="5">
        <f>_xlfn.NORM.S.INV(V65)</f>
        <v>0.18165197670757277</v>
      </c>
      <c r="X65" s="5">
        <v>860</v>
      </c>
      <c r="Y65" s="5" t="s">
        <v>17</v>
      </c>
      <c r="Z65" s="5">
        <f>(ROW(AB65)-ROW($AB$2)+0.5)/COUNT($AB$2:$AB$112)</f>
        <v>0.57207207207207211</v>
      </c>
      <c r="AA65" s="5">
        <f>_xlfn.NORM.S.INV(Z65)</f>
        <v>0.18165197670757277</v>
      </c>
      <c r="AB65" s="5">
        <v>75</v>
      </c>
      <c r="AC65" s="5">
        <f t="shared" si="0"/>
        <v>0.57207207207207211</v>
      </c>
      <c r="AD65" s="5">
        <f t="shared" si="1"/>
        <v>0.18165197670757277</v>
      </c>
      <c r="AE65" s="7">
        <v>3</v>
      </c>
      <c r="AF65" s="5"/>
    </row>
    <row r="66" spans="1:32" x14ac:dyDescent="0.3">
      <c r="A66" s="5">
        <v>99</v>
      </c>
      <c r="B66" s="5" t="s">
        <v>18</v>
      </c>
      <c r="C66" s="5">
        <f>(ROW(E66)-1)/(COUNT($E$2:$E$112)+1)</f>
        <v>0.5803571428571429</v>
      </c>
      <c r="D66" s="5">
        <f>_xlfn.NORM.S.INV(C66)</f>
        <v>0.20280722023220593</v>
      </c>
      <c r="E66" s="5">
        <v>25</v>
      </c>
      <c r="F66" s="5" t="s">
        <v>23</v>
      </c>
      <c r="G66" s="5" t="s">
        <v>28</v>
      </c>
      <c r="H66" s="5" t="s">
        <v>15</v>
      </c>
      <c r="I66" s="5">
        <f>(ROW(K66)-ROW($K$2)+0.5)/COUNT($K$2:$K$112)</f>
        <v>0.58108108108108103</v>
      </c>
      <c r="J66" s="5">
        <f>_xlfn.NORM.S.INV(I66)</f>
        <v>0.20465991857047597</v>
      </c>
      <c r="K66" s="6">
        <v>3.8</v>
      </c>
      <c r="L66" s="5" t="s">
        <v>27</v>
      </c>
      <c r="M66" s="5">
        <f>(ROW(O66)-ROW($O$2)+0.5)/COUNT($O$2:$O$112)</f>
        <v>0.58108108108108103</v>
      </c>
      <c r="N66" s="5">
        <f>_xlfn.NORM.S.INV(M66)</f>
        <v>0.20465991857047597</v>
      </c>
      <c r="O66" s="7">
        <v>65</v>
      </c>
      <c r="P66" s="7">
        <f>(ROW(R66)-ROW($R$2)+0.5)/COUNT($R$2:$R$112)</f>
        <v>0.58108108108108103</v>
      </c>
      <c r="Q66" s="7">
        <f>_xlfn.NORM.S.INV(P66)</f>
        <v>0.20465991857047597</v>
      </c>
      <c r="R66" s="5">
        <v>7</v>
      </c>
      <c r="S66" s="5">
        <f>(ROW(U66)-ROW($U$2)+0.5)/COUNT($U$2:$U$112)</f>
        <v>0.58108108108108103</v>
      </c>
      <c r="T66" s="5">
        <f>_xlfn.NORM.S.INV(S66)</f>
        <v>0.20465991857047597</v>
      </c>
      <c r="U66" s="5">
        <v>5</v>
      </c>
      <c r="V66" s="5">
        <f>(ROW(X66)-ROW($X$2)+0.5)/COUNT($T$2:$T$112)</f>
        <v>0.58108108108108103</v>
      </c>
      <c r="W66" s="5">
        <f>_xlfn.NORM.S.INV(V66)</f>
        <v>0.20465991857047597</v>
      </c>
      <c r="X66" s="5">
        <v>900</v>
      </c>
      <c r="Y66" s="5" t="s">
        <v>17</v>
      </c>
      <c r="Z66" s="5">
        <f>(ROW(AB66)-ROW($AB$2)+0.5)/COUNT($AB$2:$AB$112)</f>
        <v>0.58108108108108103</v>
      </c>
      <c r="AA66" s="5">
        <f>_xlfn.NORM.S.INV(Z66)</f>
        <v>0.20465991857047597</v>
      </c>
      <c r="AB66" s="5">
        <v>75</v>
      </c>
      <c r="AC66" s="5">
        <f t="shared" si="0"/>
        <v>0.58108108108108103</v>
      </c>
      <c r="AD66" s="5">
        <f t="shared" si="1"/>
        <v>0.20465991857047597</v>
      </c>
      <c r="AE66" s="7">
        <v>3</v>
      </c>
      <c r="AF66" s="5"/>
    </row>
    <row r="67" spans="1:32" x14ac:dyDescent="0.3">
      <c r="A67" s="5">
        <v>48</v>
      </c>
      <c r="B67" s="5" t="s">
        <v>18</v>
      </c>
      <c r="C67" s="5">
        <f>(ROW(E67)-1)/(COUNT($E$2:$E$112)+1)</f>
        <v>0.5892857142857143</v>
      </c>
      <c r="D67" s="5">
        <f>_xlfn.NORM.S.INV(C67)</f>
        <v>0.2257079538601594</v>
      </c>
      <c r="E67" s="5">
        <v>21</v>
      </c>
      <c r="F67" s="5" t="s">
        <v>13</v>
      </c>
      <c r="G67" s="5" t="s">
        <v>26</v>
      </c>
      <c r="H67" s="5" t="s">
        <v>26</v>
      </c>
      <c r="I67" s="5">
        <f>(ROW(K67)-ROW($K$2)+0.5)/COUNT($K$2:$K$112)</f>
        <v>0.59009009009009006</v>
      </c>
      <c r="J67" s="5">
        <f>_xlfn.NORM.S.INV(I67)</f>
        <v>0.22777672762222823</v>
      </c>
      <c r="K67" s="6">
        <v>2.5</v>
      </c>
      <c r="L67" s="5" t="s">
        <v>21</v>
      </c>
      <c r="M67" s="5">
        <f>(ROW(O67)-ROW($O$2)+0.5)/COUNT($O$2:$O$112)</f>
        <v>0.59009009009009006</v>
      </c>
      <c r="N67" s="5">
        <f>_xlfn.NORM.S.INV(M67)</f>
        <v>0.22777672762222823</v>
      </c>
      <c r="O67" s="7">
        <v>85</v>
      </c>
      <c r="P67" s="7">
        <f>(ROW(R67)-ROW($R$2)+0.5)/COUNT($R$2:$R$112)</f>
        <v>0.59009009009009006</v>
      </c>
      <c r="Q67" s="7">
        <f>_xlfn.NORM.S.INV(P67)</f>
        <v>0.22777672762222823</v>
      </c>
      <c r="R67" s="5">
        <v>3</v>
      </c>
      <c r="S67" s="5">
        <f>(ROW(U67)-ROW($U$2)+0.5)/COUNT($U$2:$U$112)</f>
        <v>0.59009009009009006</v>
      </c>
      <c r="T67" s="5">
        <f>_xlfn.NORM.S.INV(S67)</f>
        <v>0.22777672762222823</v>
      </c>
      <c r="U67" s="5">
        <v>4</v>
      </c>
      <c r="V67" s="5">
        <f>(ROW(X67)-ROW($X$2)+0.5)/COUNT($T$2:$T$112)</f>
        <v>0.59009009009009006</v>
      </c>
      <c r="W67" s="5">
        <f>_xlfn.NORM.S.INV(V67)</f>
        <v>0.22777672762222823</v>
      </c>
      <c r="X67" s="5">
        <v>1000</v>
      </c>
      <c r="Y67" s="5" t="s">
        <v>22</v>
      </c>
      <c r="Z67" s="5">
        <f>(ROW(AB67)-ROW($AB$2)+0.5)/COUNT($AB$2:$AB$112)</f>
        <v>0.59009009009009006</v>
      </c>
      <c r="AA67" s="5">
        <f>_xlfn.NORM.S.INV(Z67)</f>
        <v>0.22777672762222823</v>
      </c>
      <c r="AB67" s="5">
        <v>150</v>
      </c>
      <c r="AC67" s="5">
        <f t="shared" ref="AC67:AC112" si="2">(ROW(AE67)-ROW($AE$2)+0.5)/COUNT($AE$2:$AE$112)</f>
        <v>0.59009009009009006</v>
      </c>
      <c r="AD67" s="5">
        <f t="shared" ref="AD67:AD112" si="3">_xlfn.NORM.S.INV(AC67)</f>
        <v>0.22777672762222823</v>
      </c>
      <c r="AE67" s="7">
        <v>3</v>
      </c>
      <c r="AF67" s="5"/>
    </row>
    <row r="68" spans="1:32" x14ac:dyDescent="0.3">
      <c r="A68" s="5">
        <v>56</v>
      </c>
      <c r="B68" s="5" t="s">
        <v>12</v>
      </c>
      <c r="C68" s="5">
        <f>(ROW(E68)-1)/(COUNT($E$2:$E$112)+1)</f>
        <v>0.5982142857142857</v>
      </c>
      <c r="D68" s="5">
        <f>_xlfn.NORM.S.INV(C68)</f>
        <v>0.24872768963691655</v>
      </c>
      <c r="E68" s="5">
        <v>22</v>
      </c>
      <c r="F68" s="5" t="s">
        <v>19</v>
      </c>
      <c r="G68" s="5" t="s">
        <v>31</v>
      </c>
      <c r="H68" s="5" t="s">
        <v>30</v>
      </c>
      <c r="I68" s="5">
        <f>(ROW(K68)-ROW($K$2)+0.5)/COUNT($K$2:$K$112)</f>
        <v>0.59909909909909909</v>
      </c>
      <c r="J68" s="5">
        <f>_xlfn.NORM.S.INV(I68)</f>
        <v>0.25101591868327155</v>
      </c>
      <c r="K68" s="6">
        <v>3.1</v>
      </c>
      <c r="L68" s="5" t="s">
        <v>21</v>
      </c>
      <c r="M68" s="5">
        <f>(ROW(O68)-ROW($O$2)+0.5)/COUNT($O$2:$O$112)</f>
        <v>0.59909909909909909</v>
      </c>
      <c r="N68" s="5">
        <f>_xlfn.NORM.S.INV(M68)</f>
        <v>0.25101591868327155</v>
      </c>
      <c r="O68" s="7">
        <v>55</v>
      </c>
      <c r="P68" s="7">
        <f>(ROW(R68)-ROW($R$2)+0.5)/COUNT($R$2:$R$112)</f>
        <v>0.59909909909909909</v>
      </c>
      <c r="Q68" s="7">
        <f>_xlfn.NORM.S.INV(P68)</f>
        <v>0.25101591868327155</v>
      </c>
      <c r="R68" s="5">
        <v>3</v>
      </c>
      <c r="S68" s="5">
        <f>(ROW(U68)-ROW($U$2)+0.5)/COUNT($U$2:$U$112)</f>
        <v>0.59909909909909909</v>
      </c>
      <c r="T68" s="5">
        <f>_xlfn.NORM.S.INV(S68)</f>
        <v>0.25101591868327155</v>
      </c>
      <c r="U68" s="5">
        <v>1</v>
      </c>
      <c r="V68" s="5">
        <f>(ROW(X68)-ROW($X$2)+0.5)/COUNT($T$2:$T$112)</f>
        <v>0.59909909909909909</v>
      </c>
      <c r="W68" s="5">
        <f>_xlfn.NORM.S.INV(V68)</f>
        <v>0.25101591868327155</v>
      </c>
      <c r="X68" s="5">
        <v>800</v>
      </c>
      <c r="Y68" s="5" t="s">
        <v>22</v>
      </c>
      <c r="Z68" s="5">
        <f>(ROW(AB68)-ROW($AB$2)+0.5)/COUNT($AB$2:$AB$112)</f>
        <v>0.59909909909909909</v>
      </c>
      <c r="AA68" s="5">
        <f>_xlfn.NORM.S.INV(Z68)</f>
        <v>0.25101591868327155</v>
      </c>
      <c r="AB68" s="5">
        <v>300</v>
      </c>
      <c r="AC68" s="5">
        <f t="shared" si="2"/>
        <v>0.59909909909909909</v>
      </c>
      <c r="AD68" s="5">
        <f t="shared" si="3"/>
        <v>0.25101591868327155</v>
      </c>
      <c r="AE68" s="7">
        <v>3.5</v>
      </c>
      <c r="AF68" s="5"/>
    </row>
    <row r="69" spans="1:32" x14ac:dyDescent="0.3">
      <c r="A69" s="5">
        <v>57</v>
      </c>
      <c r="B69" s="5" t="s">
        <v>12</v>
      </c>
      <c r="C69" s="5">
        <f>(ROW(E69)-1)/(COUNT($E$2:$E$112)+1)</f>
        <v>0.6071428571428571</v>
      </c>
      <c r="D69" s="5">
        <f>_xlfn.NORM.S.INV(C69)</f>
        <v>0.27188000539926077</v>
      </c>
      <c r="E69" s="5">
        <v>22</v>
      </c>
      <c r="F69" s="5" t="s">
        <v>19</v>
      </c>
      <c r="G69" s="5" t="s">
        <v>31</v>
      </c>
      <c r="H69" s="5" t="s">
        <v>15</v>
      </c>
      <c r="I69" s="5">
        <f>(ROW(K69)-ROW($K$2)+0.5)/COUNT($K$2:$K$112)</f>
        <v>0.60810810810810811</v>
      </c>
      <c r="J69" s="5">
        <f>_xlfn.NORM.S.INV(I69)</f>
        <v>0.27439148786003692</v>
      </c>
      <c r="K69" s="6">
        <v>3.4</v>
      </c>
      <c r="L69" s="5" t="s">
        <v>21</v>
      </c>
      <c r="M69" s="5">
        <f>(ROW(O69)-ROW($O$2)+0.5)/COUNT($O$2:$O$112)</f>
        <v>0.60810810810810811</v>
      </c>
      <c r="N69" s="5">
        <f>_xlfn.NORM.S.INV(M69)</f>
        <v>0.27439148786003692</v>
      </c>
      <c r="O69" s="7">
        <v>47</v>
      </c>
      <c r="P69" s="7">
        <f>(ROW(R69)-ROW($R$2)+0.5)/COUNT($R$2:$R$112)</f>
        <v>0.60810810810810811</v>
      </c>
      <c r="Q69" s="7">
        <f>_xlfn.NORM.S.INV(P69)</f>
        <v>0.27439148786003692</v>
      </c>
      <c r="R69" s="5">
        <v>6</v>
      </c>
      <c r="S69" s="5">
        <f>(ROW(U69)-ROW($U$2)+0.5)/COUNT($U$2:$U$112)</f>
        <v>0.60810810810810811</v>
      </c>
      <c r="T69" s="5">
        <f>_xlfn.NORM.S.INV(S69)</f>
        <v>0.27439148786003692</v>
      </c>
      <c r="U69" s="5">
        <v>1</v>
      </c>
      <c r="V69" s="5">
        <f>(ROW(X69)-ROW($X$2)+0.5)/COUNT($T$2:$T$112)</f>
        <v>0.60810810810810811</v>
      </c>
      <c r="W69" s="5">
        <f>_xlfn.NORM.S.INV(V69)</f>
        <v>0.27439148786003692</v>
      </c>
      <c r="X69" s="5">
        <v>700</v>
      </c>
      <c r="Y69" s="5" t="s">
        <v>17</v>
      </c>
      <c r="Z69" s="5">
        <f>(ROW(AB69)-ROW($AB$2)+0.5)/COUNT($AB$2:$AB$112)</f>
        <v>0.60810810810810811</v>
      </c>
      <c r="AA69" s="5">
        <f>_xlfn.NORM.S.INV(Z69)</f>
        <v>0.27439148786003692</v>
      </c>
      <c r="AB69" s="5">
        <v>100</v>
      </c>
      <c r="AC69" s="5">
        <f t="shared" si="2"/>
        <v>0.60810810810810811</v>
      </c>
      <c r="AD69" s="5">
        <f t="shared" si="3"/>
        <v>0.27439148786003692</v>
      </c>
      <c r="AE69" s="7">
        <v>3.8</v>
      </c>
      <c r="AF69" s="5"/>
    </row>
    <row r="70" spans="1:32" x14ac:dyDescent="0.3">
      <c r="A70" s="5">
        <v>12</v>
      </c>
      <c r="B70" s="5" t="s">
        <v>18</v>
      </c>
      <c r="C70" s="5">
        <f>(ROW(E70)-1)/(COUNT($E$2:$E$112)+1)</f>
        <v>0.6160714285714286</v>
      </c>
      <c r="D70" s="5">
        <f>_xlfn.NORM.S.INV(C70)</f>
        <v>0.29517900048864598</v>
      </c>
      <c r="E70" s="5">
        <v>19</v>
      </c>
      <c r="F70" s="5" t="s">
        <v>19</v>
      </c>
      <c r="G70" s="5" t="s">
        <v>28</v>
      </c>
      <c r="H70" s="5" t="s">
        <v>30</v>
      </c>
      <c r="I70" s="5">
        <f>(ROW(K70)-ROW($K$2)+0.5)/COUNT($K$2:$K$112)</f>
        <v>0.61711711711711714</v>
      </c>
      <c r="J70" s="5">
        <f>_xlfn.NORM.S.INV(I70)</f>
        <v>0.29791797856351676</v>
      </c>
      <c r="K70" s="6">
        <v>3.5</v>
      </c>
      <c r="L70" s="5" t="s">
        <v>16</v>
      </c>
      <c r="M70" s="5">
        <f>(ROW(O70)-ROW($O$2)+0.5)/COUNT($O$2:$O$112)</f>
        <v>0.61711711711711714</v>
      </c>
      <c r="N70" s="5">
        <f>_xlfn.NORM.S.INV(M70)</f>
        <v>0.29791797856351676</v>
      </c>
      <c r="O70" s="7">
        <v>42</v>
      </c>
      <c r="P70" s="7">
        <f>(ROW(R70)-ROW($R$2)+0.5)/COUNT($R$2:$R$112)</f>
        <v>0.61711711711711714</v>
      </c>
      <c r="Q70" s="7">
        <f>_xlfn.NORM.S.INV(P70)</f>
        <v>0.29791797856351676</v>
      </c>
      <c r="R70" s="5">
        <v>4</v>
      </c>
      <c r="S70" s="5">
        <f>(ROW(U70)-ROW($U$2)+0.5)/COUNT($U$2:$U$112)</f>
        <v>0.61711711711711714</v>
      </c>
      <c r="T70" s="5">
        <f>_xlfn.NORM.S.INV(S70)</f>
        <v>0.29791797856351676</v>
      </c>
      <c r="U70" s="5">
        <v>3</v>
      </c>
      <c r="V70" s="5">
        <f>(ROW(X70)-ROW($X$2)+0.5)/COUNT($T$2:$T$112)</f>
        <v>0.61711711711711714</v>
      </c>
      <c r="W70" s="5">
        <f>_xlfn.NORM.S.INV(V70)</f>
        <v>0.29791797856351676</v>
      </c>
      <c r="X70" s="5">
        <v>1000</v>
      </c>
      <c r="Y70" s="5" t="s">
        <v>17</v>
      </c>
      <c r="Z70" s="5">
        <f>(ROW(AB70)-ROW($AB$2)+0.5)/COUNT($AB$2:$AB$112)</f>
        <v>0.61711711711711714</v>
      </c>
      <c r="AA70" s="5">
        <f>_xlfn.NORM.S.INV(Z70)</f>
        <v>0.29791797856351676</v>
      </c>
      <c r="AB70" s="5">
        <v>100</v>
      </c>
      <c r="AC70" s="5">
        <f t="shared" si="2"/>
        <v>0.61711711711711714</v>
      </c>
      <c r="AD70" s="5">
        <f t="shared" si="3"/>
        <v>0.29791797856351676</v>
      </c>
      <c r="AE70" s="7">
        <v>4</v>
      </c>
      <c r="AF70" s="5"/>
    </row>
    <row r="71" spans="1:32" x14ac:dyDescent="0.3">
      <c r="A71" s="5">
        <v>6</v>
      </c>
      <c r="B71" s="5" t="s">
        <v>12</v>
      </c>
      <c r="C71" s="5">
        <f>(ROW(E71)-1)/(COUNT($E$2:$E$112)+1)</f>
        <v>0.625</v>
      </c>
      <c r="D71" s="5">
        <f>_xlfn.NORM.S.INV(C71)</f>
        <v>0.3186393639643752</v>
      </c>
      <c r="E71" s="5">
        <v>19</v>
      </c>
      <c r="F71" s="5" t="s">
        <v>19</v>
      </c>
      <c r="G71" s="5" t="s">
        <v>28</v>
      </c>
      <c r="H71" s="5" t="s">
        <v>26</v>
      </c>
      <c r="I71" s="5">
        <f>(ROW(K71)-ROW($K$2)+0.5)/COUNT($K$2:$K$112)</f>
        <v>0.62612612612612617</v>
      </c>
      <c r="J71" s="5">
        <f>_xlfn.NORM.S.INV(I71)</f>
        <v>0.32161055351265849</v>
      </c>
      <c r="K71" s="6">
        <v>2.34</v>
      </c>
      <c r="L71" s="5" t="s">
        <v>27</v>
      </c>
      <c r="M71" s="5">
        <f>(ROW(O71)-ROW($O$2)+0.5)/COUNT($O$2:$O$112)</f>
        <v>0.62612612612612617</v>
      </c>
      <c r="N71" s="5">
        <f>_xlfn.NORM.S.INV(M71)</f>
        <v>0.32161055351265849</v>
      </c>
      <c r="O71" s="7">
        <v>83</v>
      </c>
      <c r="P71" s="7">
        <f>(ROW(R71)-ROW($R$2)+0.5)/COUNT($R$2:$R$112)</f>
        <v>0.62612612612612617</v>
      </c>
      <c r="Q71" s="7">
        <f>_xlfn.NORM.S.INV(P71)</f>
        <v>0.32161055351265849</v>
      </c>
      <c r="R71" s="5">
        <v>3</v>
      </c>
      <c r="S71" s="5">
        <f>(ROW(U71)-ROW($U$2)+0.5)/COUNT($U$2:$U$112)</f>
        <v>0.62612612612612617</v>
      </c>
      <c r="T71" s="5">
        <f>_xlfn.NORM.S.INV(S71)</f>
        <v>0.32161055351265849</v>
      </c>
      <c r="U71" s="5">
        <v>2</v>
      </c>
      <c r="V71" s="5">
        <f>(ROW(X71)-ROW($X$2)+0.5)/COUNT($T$2:$T$112)</f>
        <v>0.62612612612612617</v>
      </c>
      <c r="W71" s="5">
        <f>_xlfn.NORM.S.INV(V71)</f>
        <v>0.32161055351265849</v>
      </c>
      <c r="X71" s="5">
        <v>1200</v>
      </c>
      <c r="Y71" s="5" t="s">
        <v>22</v>
      </c>
      <c r="Z71" s="5">
        <f>(ROW(AB71)-ROW($AB$2)+0.5)/COUNT($AB$2:$AB$112)</f>
        <v>0.62612612612612617</v>
      </c>
      <c r="AA71" s="5">
        <f>_xlfn.NORM.S.INV(Z71)</f>
        <v>0.32161055351265849</v>
      </c>
      <c r="AB71" s="5">
        <v>0</v>
      </c>
      <c r="AC71" s="5">
        <f t="shared" si="2"/>
        <v>0.62612612612612617</v>
      </c>
      <c r="AD71" s="5">
        <f t="shared" si="3"/>
        <v>0.32161055351265849</v>
      </c>
      <c r="AE71" s="7">
        <v>5</v>
      </c>
      <c r="AF71" s="5"/>
    </row>
    <row r="72" spans="1:32" x14ac:dyDescent="0.3">
      <c r="A72" s="5">
        <v>98</v>
      </c>
      <c r="B72" s="5" t="s">
        <v>12</v>
      </c>
      <c r="C72" s="5">
        <f>(ROW(E72)-1)/(COUNT($E$2:$E$112)+1)</f>
        <v>0.6339285714285714</v>
      </c>
      <c r="D72" s="5">
        <f>_xlfn.NORM.S.INV(C72)</f>
        <v>0.34227644932452272</v>
      </c>
      <c r="E72" s="5">
        <v>25</v>
      </c>
      <c r="F72" s="5" t="s">
        <v>13</v>
      </c>
      <c r="G72" s="5" t="s">
        <v>28</v>
      </c>
      <c r="H72" s="5" t="s">
        <v>30</v>
      </c>
      <c r="I72" s="5">
        <f>(ROW(K72)-ROW($K$2)+0.5)/COUNT($K$2:$K$112)</f>
        <v>0.63513513513513509</v>
      </c>
      <c r="J72" s="5">
        <f>_xlfn.NORM.S.INV(I72)</f>
        <v>0.34548507371979842</v>
      </c>
      <c r="K72" s="6">
        <v>3.1</v>
      </c>
      <c r="L72" s="5" t="s">
        <v>21</v>
      </c>
      <c r="M72" s="5">
        <f>(ROW(O72)-ROW($O$2)+0.5)/COUNT($O$2:$O$112)</f>
        <v>0.63513513513513509</v>
      </c>
      <c r="N72" s="5">
        <f>_xlfn.NORM.S.INV(M72)</f>
        <v>0.34548507371979842</v>
      </c>
      <c r="O72" s="7">
        <v>60</v>
      </c>
      <c r="P72" s="7">
        <f>(ROW(R72)-ROW($R$2)+0.5)/COUNT($R$2:$R$112)</f>
        <v>0.63513513513513509</v>
      </c>
      <c r="Q72" s="7">
        <f>_xlfn.NORM.S.INV(P72)</f>
        <v>0.34548507371979842</v>
      </c>
      <c r="R72" s="5">
        <v>6</v>
      </c>
      <c r="S72" s="5">
        <f>(ROW(U72)-ROW($U$2)+0.5)/COUNT($U$2:$U$112)</f>
        <v>0.63513513513513509</v>
      </c>
      <c r="T72" s="5">
        <f>_xlfn.NORM.S.INV(S72)</f>
        <v>0.34548507371979842</v>
      </c>
      <c r="U72" s="5">
        <v>5</v>
      </c>
      <c r="V72" s="5">
        <f>(ROW(X72)-ROW($X$2)+0.5)/COUNT($T$2:$T$112)</f>
        <v>0.63513513513513509</v>
      </c>
      <c r="W72" s="5">
        <f>_xlfn.NORM.S.INV(V72)</f>
        <v>0.34548507371979842</v>
      </c>
      <c r="X72" s="5">
        <v>800</v>
      </c>
      <c r="Y72" s="5" t="s">
        <v>17</v>
      </c>
      <c r="Z72" s="5">
        <f>(ROW(AB72)-ROW($AB$2)+0.5)/COUNT($AB$2:$AB$112)</f>
        <v>0.63513513513513509</v>
      </c>
      <c r="AA72" s="5">
        <f>_xlfn.NORM.S.INV(Z72)</f>
        <v>0.34548507371979842</v>
      </c>
      <c r="AB72" s="5">
        <v>1</v>
      </c>
      <c r="AC72" s="5">
        <f t="shared" si="2"/>
        <v>0.63513513513513509</v>
      </c>
      <c r="AD72" s="5">
        <f t="shared" si="3"/>
        <v>0.34548507371979842</v>
      </c>
      <c r="AE72" s="7">
        <v>5</v>
      </c>
      <c r="AF72" s="5"/>
    </row>
    <row r="73" spans="1:32" x14ac:dyDescent="0.3">
      <c r="A73" s="14">
        <v>89</v>
      </c>
      <c r="B73" s="14" t="s">
        <v>12</v>
      </c>
      <c r="C73" s="5">
        <f>(ROW(E73)-1)/(COUNT($E$2:$E$112)+1)</f>
        <v>0.6428571428571429</v>
      </c>
      <c r="D73" s="5">
        <f>_xlfn.NORM.S.INV(C73)</f>
        <v>0.3661063568005698</v>
      </c>
      <c r="E73" s="14">
        <v>24</v>
      </c>
      <c r="F73" s="14" t="s">
        <v>29</v>
      </c>
      <c r="G73" s="14" t="s">
        <v>31</v>
      </c>
      <c r="H73" s="14" t="s">
        <v>26</v>
      </c>
      <c r="I73" s="5">
        <f>(ROW(K73)-ROW($K$2)+0.5)/COUNT($K$2:$K$112)</f>
        <v>0.64414414414414412</v>
      </c>
      <c r="J73" s="5">
        <f>_xlfn.NORM.S.INV(I73)</f>
        <v>0.36955818561240195</v>
      </c>
      <c r="K73" s="15">
        <v>2.9</v>
      </c>
      <c r="L73" s="14" t="s">
        <v>21</v>
      </c>
      <c r="M73" s="5">
        <f>(ROW(O73)-ROW($O$2)+0.5)/COUNT($O$2:$O$112)</f>
        <v>0.64414414414414412</v>
      </c>
      <c r="N73" s="5">
        <f>_xlfn.NORM.S.INV(M73)</f>
        <v>0.36955818561240195</v>
      </c>
      <c r="O73" s="16">
        <v>50</v>
      </c>
      <c r="P73" s="7">
        <f>(ROW(R73)-ROW($R$2)+0.5)/COUNT($R$2:$R$112)</f>
        <v>0.64414414414414412</v>
      </c>
      <c r="Q73" s="7">
        <f>_xlfn.NORM.S.INV(P73)</f>
        <v>0.36955818561240195</v>
      </c>
      <c r="R73" s="14">
        <v>6</v>
      </c>
      <c r="S73" s="5">
        <f>(ROW(U73)-ROW($U$2)+0.5)/COUNT($U$2:$U$112)</f>
        <v>0.64414414414414412</v>
      </c>
      <c r="T73" s="5">
        <f>_xlfn.NORM.S.INV(S73)</f>
        <v>0.36955818561240195</v>
      </c>
      <c r="U73" s="14">
        <v>4</v>
      </c>
      <c r="V73" s="5">
        <f>(ROW(X73)-ROW($X$2)+0.5)/COUNT($T$2:$T$112)</f>
        <v>0.64414414414414412</v>
      </c>
      <c r="W73" s="5">
        <f>_xlfn.NORM.S.INV(V73)</f>
        <v>0.36955818561240195</v>
      </c>
      <c r="X73" s="14">
        <v>2000</v>
      </c>
      <c r="Y73" s="14" t="s">
        <v>17</v>
      </c>
      <c r="Z73" s="5">
        <f>(ROW(AB73)-ROW($AB$2)+0.5)/COUNT($AB$2:$AB$112)</f>
        <v>0.64414414414414412</v>
      </c>
      <c r="AA73" s="5">
        <f>_xlfn.NORM.S.INV(Z73)</f>
        <v>0.36955818561240195</v>
      </c>
      <c r="AB73" s="14">
        <v>2</v>
      </c>
      <c r="AC73" s="5">
        <f t="shared" si="2"/>
        <v>0.64414414414414412</v>
      </c>
      <c r="AD73" s="5">
        <f t="shared" si="3"/>
        <v>0.36955818561240195</v>
      </c>
      <c r="AE73" s="16">
        <v>5</v>
      </c>
      <c r="AF73" s="5"/>
    </row>
    <row r="74" spans="1:32" x14ac:dyDescent="0.3">
      <c r="A74" s="5">
        <v>93</v>
      </c>
      <c r="B74" s="5" t="s">
        <v>12</v>
      </c>
      <c r="C74" s="5">
        <f>(ROW(E74)-1)/(COUNT($E$2:$E$112)+1)</f>
        <v>0.6517857142857143</v>
      </c>
      <c r="D74" s="5">
        <f>_xlfn.NORM.S.INV(C74)</f>
        <v>0.39014602446488944</v>
      </c>
      <c r="E74" s="5">
        <v>24</v>
      </c>
      <c r="F74" s="5" t="s">
        <v>19</v>
      </c>
      <c r="G74" s="5" t="s">
        <v>28</v>
      </c>
      <c r="H74" s="5" t="s">
        <v>15</v>
      </c>
      <c r="I74" s="5">
        <f>(ROW(K74)-ROW($K$2)+0.5)/COUNT($K$2:$K$112)</f>
        <v>0.65315315315315314</v>
      </c>
      <c r="J74" s="5">
        <f>_xlfn.NORM.S.INV(I74)</f>
        <v>0.39384741763566572</v>
      </c>
      <c r="K74" s="6">
        <v>3.6</v>
      </c>
      <c r="L74" s="5" t="s">
        <v>21</v>
      </c>
      <c r="M74" s="5">
        <f>(ROW(O74)-ROW($O$2)+0.5)/COUNT($O$2:$O$112)</f>
        <v>0.65315315315315314</v>
      </c>
      <c r="N74" s="5">
        <f>_xlfn.NORM.S.INV(M74)</f>
        <v>0.39384741763566572</v>
      </c>
      <c r="O74" s="7">
        <v>65</v>
      </c>
      <c r="P74" s="7">
        <f>(ROW(R74)-ROW($R$2)+0.5)/COUNT($R$2:$R$112)</f>
        <v>0.65315315315315314</v>
      </c>
      <c r="Q74" s="7">
        <f>_xlfn.NORM.S.INV(P74)</f>
        <v>0.39384741763566572</v>
      </c>
      <c r="R74" s="5">
        <v>3</v>
      </c>
      <c r="S74" s="5">
        <f>(ROW(U74)-ROW($U$2)+0.5)/COUNT($U$2:$U$112)</f>
        <v>0.65315315315315314</v>
      </c>
      <c r="T74" s="5">
        <f>_xlfn.NORM.S.INV(S74)</f>
        <v>0.39384741763566572</v>
      </c>
      <c r="U74" s="5">
        <v>5</v>
      </c>
      <c r="V74" s="5">
        <f>(ROW(X74)-ROW($X$2)+0.5)/COUNT($T$2:$T$112)</f>
        <v>0.65315315315315314</v>
      </c>
      <c r="W74" s="5">
        <f>_xlfn.NORM.S.INV(V74)</f>
        <v>0.39384741763566572</v>
      </c>
      <c r="X74" s="5">
        <v>700</v>
      </c>
      <c r="Y74" s="5" t="s">
        <v>22</v>
      </c>
      <c r="Z74" s="5">
        <f>(ROW(AB74)-ROW($AB$2)+0.5)/COUNT($AB$2:$AB$112)</f>
        <v>0.65315315315315314</v>
      </c>
      <c r="AA74" s="5">
        <f>_xlfn.NORM.S.INV(Z74)</f>
        <v>0.39384741763566572</v>
      </c>
      <c r="AB74" s="5">
        <v>100</v>
      </c>
      <c r="AC74" s="5">
        <f t="shared" si="2"/>
        <v>0.65315315315315314</v>
      </c>
      <c r="AD74" s="5">
        <f t="shared" si="3"/>
        <v>0.39384741763566572</v>
      </c>
      <c r="AE74" s="7">
        <v>5</v>
      </c>
      <c r="AF74" s="5"/>
    </row>
    <row r="75" spans="1:32" x14ac:dyDescent="0.3">
      <c r="A75" s="5">
        <v>37</v>
      </c>
      <c r="B75" s="5" t="s">
        <v>18</v>
      </c>
      <c r="C75" s="5">
        <f>(ROW(E75)-1)/(COUNT($E$2:$E$112)+1)</f>
        <v>0.6607142857142857</v>
      </c>
      <c r="D75" s="5">
        <f>_xlfn.NORM.S.INV(C75)</f>
        <v>0.41441332960007643</v>
      </c>
      <c r="E75" s="5">
        <v>21</v>
      </c>
      <c r="F75" s="5" t="s">
        <v>19</v>
      </c>
      <c r="G75" s="5" t="s">
        <v>20</v>
      </c>
      <c r="H75" s="5" t="s">
        <v>15</v>
      </c>
      <c r="I75" s="5">
        <f>(ROW(K75)-ROW($K$2)+0.5)/COUNT($K$2:$K$112)</f>
        <v>0.66216216216216217</v>
      </c>
      <c r="J75" s="5">
        <f>_xlfn.NORM.S.INV(I75)</f>
        <v>0.41837128791165434</v>
      </c>
      <c r="K75" s="6">
        <v>3.05</v>
      </c>
      <c r="L75" s="5" t="s">
        <v>21</v>
      </c>
      <c r="M75" s="5">
        <f>(ROW(O75)-ROW($O$2)+0.5)/COUNT($O$2:$O$112)</f>
        <v>0.66216216216216217</v>
      </c>
      <c r="N75" s="5">
        <f>_xlfn.NORM.S.INV(M75)</f>
        <v>0.41837128791165434</v>
      </c>
      <c r="O75" s="7">
        <v>45</v>
      </c>
      <c r="P75" s="7">
        <f>(ROW(R75)-ROW($R$2)+0.5)/COUNT($R$2:$R$112)</f>
        <v>0.66216216216216217</v>
      </c>
      <c r="Q75" s="7">
        <f>_xlfn.NORM.S.INV(P75)</f>
        <v>0.41837128791165434</v>
      </c>
      <c r="R75" s="5">
        <v>3</v>
      </c>
      <c r="S75" s="5">
        <f>(ROW(U75)-ROW($U$2)+0.5)/COUNT($U$2:$U$112)</f>
        <v>0.66216216216216217</v>
      </c>
      <c r="T75" s="5">
        <f>_xlfn.NORM.S.INV(S75)</f>
        <v>0.41837128791165434</v>
      </c>
      <c r="U75" s="5">
        <v>4</v>
      </c>
      <c r="V75" s="5">
        <f>(ROW(X75)-ROW($X$2)+0.5)/COUNT($T$2:$T$112)</f>
        <v>0.66216216216216217</v>
      </c>
      <c r="W75" s="5">
        <f>_xlfn.NORM.S.INV(V75)</f>
        <v>0.41837128791165434</v>
      </c>
      <c r="X75" s="5">
        <v>1000</v>
      </c>
      <c r="Y75" s="5" t="s">
        <v>17</v>
      </c>
      <c r="Z75" s="5">
        <f>(ROW(AB75)-ROW($AB$2)+0.5)/COUNT($AB$2:$AB$112)</f>
        <v>0.66216216216216217</v>
      </c>
      <c r="AA75" s="5">
        <f>_xlfn.NORM.S.INV(Z75)</f>
        <v>0.41837128791165434</v>
      </c>
      <c r="AB75" s="5">
        <v>100</v>
      </c>
      <c r="AC75" s="5">
        <f t="shared" si="2"/>
        <v>0.66216216216216217</v>
      </c>
      <c r="AD75" s="5">
        <f t="shared" si="3"/>
        <v>0.41837128791165434</v>
      </c>
      <c r="AE75" s="7">
        <v>5</v>
      </c>
      <c r="AF75" s="5"/>
    </row>
    <row r="76" spans="1:32" x14ac:dyDescent="0.3">
      <c r="A76" s="5">
        <v>52</v>
      </c>
      <c r="B76" s="5" t="s">
        <v>18</v>
      </c>
      <c r="C76" s="5">
        <f>(ROW(E76)-1)/(COUNT($E$2:$E$112)+1)</f>
        <v>0.6696428571428571</v>
      </c>
      <c r="D76" s="5">
        <f>_xlfn.NORM.S.INV(C76)</f>
        <v>0.43892720203419622</v>
      </c>
      <c r="E76" s="5">
        <v>21</v>
      </c>
      <c r="F76" s="5" t="s">
        <v>19</v>
      </c>
      <c r="G76" s="5" t="s">
        <v>20</v>
      </c>
      <c r="H76" s="5" t="s">
        <v>30</v>
      </c>
      <c r="I76" s="5">
        <f>(ROW(K76)-ROW($K$2)+0.5)/COUNT($K$2:$K$112)</f>
        <v>0.6711711711711712</v>
      </c>
      <c r="J76" s="5">
        <f>_xlfn.NORM.S.INV(I76)</f>
        <v>0.44314942481215747</v>
      </c>
      <c r="K76" s="6">
        <v>3</v>
      </c>
      <c r="L76" s="5" t="s">
        <v>21</v>
      </c>
      <c r="M76" s="5">
        <f>(ROW(O76)-ROW($O$2)+0.5)/COUNT($O$2:$O$112)</f>
        <v>0.6711711711711712</v>
      </c>
      <c r="N76" s="5">
        <f>_xlfn.NORM.S.INV(M76)</f>
        <v>0.44314942481215747</v>
      </c>
      <c r="O76" s="7">
        <v>55</v>
      </c>
      <c r="P76" s="7">
        <f>(ROW(R76)-ROW($R$2)+0.5)/COUNT($R$2:$R$112)</f>
        <v>0.6711711711711712</v>
      </c>
      <c r="Q76" s="7">
        <f>_xlfn.NORM.S.INV(P76)</f>
        <v>0.44314942481215747</v>
      </c>
      <c r="R76" s="5">
        <v>4</v>
      </c>
      <c r="S76" s="5">
        <f>(ROW(U76)-ROW($U$2)+0.5)/COUNT($U$2:$U$112)</f>
        <v>0.6711711711711712</v>
      </c>
      <c r="T76" s="5">
        <f>_xlfn.NORM.S.INV(S76)</f>
        <v>0.44314942481215747</v>
      </c>
      <c r="U76" s="5">
        <v>4</v>
      </c>
      <c r="V76" s="5">
        <f>(ROW(X76)-ROW($X$2)+0.5)/COUNT($T$2:$T$112)</f>
        <v>0.6711711711711712</v>
      </c>
      <c r="W76" s="5">
        <f>_xlfn.NORM.S.INV(V76)</f>
        <v>0.44314942481215747</v>
      </c>
      <c r="X76" s="5">
        <v>1000</v>
      </c>
      <c r="Y76" s="5" t="s">
        <v>17</v>
      </c>
      <c r="Z76" s="5">
        <f>(ROW(AB76)-ROW($AB$2)+0.5)/COUNT($AB$2:$AB$112)</f>
        <v>0.6711711711711712</v>
      </c>
      <c r="AA76" s="5">
        <f>_xlfn.NORM.S.INV(Z76)</f>
        <v>0.44314942481215747</v>
      </c>
      <c r="AB76" s="5">
        <v>200</v>
      </c>
      <c r="AC76" s="5">
        <f t="shared" si="2"/>
        <v>0.6711711711711712</v>
      </c>
      <c r="AD76" s="5">
        <f t="shared" si="3"/>
        <v>0.44314942481215747</v>
      </c>
      <c r="AE76" s="7">
        <v>5</v>
      </c>
      <c r="AF76" s="5"/>
    </row>
    <row r="77" spans="1:32" x14ac:dyDescent="0.3">
      <c r="A77" s="5">
        <v>102</v>
      </c>
      <c r="B77" s="5" t="s">
        <v>18</v>
      </c>
      <c r="C77" s="5">
        <f>(ROW(E77)-1)/(COUNT($E$2:$E$112)+1)</f>
        <v>0.6785714285714286</v>
      </c>
      <c r="D77" s="5">
        <f>_xlfn.NORM.S.INV(C77)</f>
        <v>0.46370775145717918</v>
      </c>
      <c r="E77" s="5">
        <v>26</v>
      </c>
      <c r="F77" s="5" t="s">
        <v>23</v>
      </c>
      <c r="G77" s="5" t="s">
        <v>31</v>
      </c>
      <c r="H77" s="5" t="s">
        <v>30</v>
      </c>
      <c r="I77" s="5">
        <f>(ROW(K77)-ROW($K$2)+0.5)/COUNT($K$2:$K$112)</f>
        <v>0.68018018018018023</v>
      </c>
      <c r="J77" s="5">
        <f>_xlfn.NORM.S.INV(I77)</f>
        <v>0.46820270264667324</v>
      </c>
      <c r="K77" s="6">
        <v>2.7</v>
      </c>
      <c r="L77" s="5" t="s">
        <v>21</v>
      </c>
      <c r="M77" s="5">
        <f>(ROW(O77)-ROW($O$2)+0.5)/COUNT($O$2:$O$112)</f>
        <v>0.68018018018018023</v>
      </c>
      <c r="N77" s="5">
        <f>_xlfn.NORM.S.INV(M77)</f>
        <v>0.46820270264667324</v>
      </c>
      <c r="O77" s="7">
        <v>45</v>
      </c>
      <c r="P77" s="7">
        <f>(ROW(R77)-ROW($R$2)+0.5)/COUNT($R$2:$R$112)</f>
        <v>0.68018018018018023</v>
      </c>
      <c r="Q77" s="7">
        <f>_xlfn.NORM.S.INV(P77)</f>
        <v>0.46820270264667324</v>
      </c>
      <c r="R77" s="5">
        <v>7</v>
      </c>
      <c r="S77" s="5">
        <f>(ROW(U77)-ROW($U$2)+0.5)/COUNT($U$2:$U$112)</f>
        <v>0.68018018018018023</v>
      </c>
      <c r="T77" s="5">
        <f>_xlfn.NORM.S.INV(S77)</f>
        <v>0.46820270264667324</v>
      </c>
      <c r="U77" s="5">
        <v>5</v>
      </c>
      <c r="V77" s="5">
        <f>(ROW(X77)-ROW($X$2)+0.5)/COUNT($T$2:$T$112)</f>
        <v>0.68018018018018023</v>
      </c>
      <c r="W77" s="5">
        <f>_xlfn.NORM.S.INV(V77)</f>
        <v>0.46820270264667324</v>
      </c>
      <c r="X77" s="5">
        <v>640</v>
      </c>
      <c r="Y77" s="5" t="s">
        <v>17</v>
      </c>
      <c r="Z77" s="5">
        <f>(ROW(AB77)-ROW($AB$2)+0.5)/COUNT($AB$2:$AB$112)</f>
        <v>0.68018018018018023</v>
      </c>
      <c r="AA77" s="5">
        <f>_xlfn.NORM.S.INV(Z77)</f>
        <v>0.46820270264667324</v>
      </c>
      <c r="AB77" s="5">
        <v>210</v>
      </c>
      <c r="AC77" s="5">
        <f t="shared" si="2"/>
        <v>0.68018018018018023</v>
      </c>
      <c r="AD77" s="5">
        <f t="shared" si="3"/>
        <v>0.46820270264667324</v>
      </c>
      <c r="AE77" s="7">
        <v>5</v>
      </c>
      <c r="AF77" s="5"/>
    </row>
    <row r="78" spans="1:32" x14ac:dyDescent="0.3">
      <c r="A78" s="5">
        <v>76</v>
      </c>
      <c r="B78" s="5" t="s">
        <v>12</v>
      </c>
      <c r="C78" s="5">
        <f>(ROW(E78)-1)/(COUNT($E$2:$E$112)+1)</f>
        <v>0.6875</v>
      </c>
      <c r="D78" s="5">
        <f>_xlfn.NORM.S.INV(C78)</f>
        <v>0.48877641111466941</v>
      </c>
      <c r="E78" s="5">
        <v>23</v>
      </c>
      <c r="F78" s="5" t="s">
        <v>19</v>
      </c>
      <c r="G78" s="5" t="s">
        <v>28</v>
      </c>
      <c r="H78" s="5" t="s">
        <v>15</v>
      </c>
      <c r="I78" s="5">
        <f>(ROW(K78)-ROW($K$2)+0.5)/COUNT($K$2:$K$112)</f>
        <v>0.68918918918918914</v>
      </c>
      <c r="J78" s="5">
        <f>_xlfn.NORM.S.INV(I78)</f>
        <v>0.49355339508954532</v>
      </c>
      <c r="K78" s="6">
        <v>3.5</v>
      </c>
      <c r="L78" s="5" t="s">
        <v>21</v>
      </c>
      <c r="M78" s="5">
        <f>(ROW(O78)-ROW($O$2)+0.5)/COUNT($O$2:$O$112)</f>
        <v>0.68918918918918914</v>
      </c>
      <c r="N78" s="5">
        <f>_xlfn.NORM.S.INV(M78)</f>
        <v>0.49355339508954532</v>
      </c>
      <c r="O78" s="7">
        <v>75</v>
      </c>
      <c r="P78" s="7">
        <f>(ROW(R78)-ROW($R$2)+0.5)/COUNT($R$2:$R$112)</f>
        <v>0.68918918918918914</v>
      </c>
      <c r="Q78" s="7">
        <f>_xlfn.NORM.S.INV(P78)</f>
        <v>0.49355339508954532</v>
      </c>
      <c r="R78" s="5">
        <v>4</v>
      </c>
      <c r="S78" s="5">
        <f>(ROW(U78)-ROW($U$2)+0.5)/COUNT($U$2:$U$112)</f>
        <v>0.68918918918918914</v>
      </c>
      <c r="T78" s="5">
        <f>_xlfn.NORM.S.INV(S78)</f>
        <v>0.49355339508954532</v>
      </c>
      <c r="U78" s="5">
        <v>6</v>
      </c>
      <c r="V78" s="5">
        <f>(ROW(X78)-ROW($X$2)+0.5)/COUNT($T$2:$T$112)</f>
        <v>0.68918918918918914</v>
      </c>
      <c r="W78" s="5">
        <f>_xlfn.NORM.S.INV(V78)</f>
        <v>0.49355339508954532</v>
      </c>
      <c r="X78" s="5">
        <v>900</v>
      </c>
      <c r="Y78" s="5" t="s">
        <v>22</v>
      </c>
      <c r="Z78" s="5">
        <f>(ROW(AB78)-ROW($AB$2)+0.5)/COUNT($AB$2:$AB$112)</f>
        <v>0.68918918918918914</v>
      </c>
      <c r="AA78" s="5">
        <f>_xlfn.NORM.S.INV(Z78)</f>
        <v>0.49355339508954532</v>
      </c>
      <c r="AB78" s="5">
        <v>350</v>
      </c>
      <c r="AC78" s="5">
        <f t="shared" si="2"/>
        <v>0.68918918918918914</v>
      </c>
      <c r="AD78" s="5">
        <f t="shared" si="3"/>
        <v>0.49355339508954532</v>
      </c>
      <c r="AE78" s="7">
        <v>5</v>
      </c>
      <c r="AF78" s="5"/>
    </row>
    <row r="79" spans="1:32" x14ac:dyDescent="0.3">
      <c r="A79" s="5">
        <v>82</v>
      </c>
      <c r="B79" s="5" t="s">
        <v>18</v>
      </c>
      <c r="C79" s="5">
        <f>(ROW(E79)-1)/(COUNT($E$2:$E$112)+1)</f>
        <v>0.6964285714285714</v>
      </c>
      <c r="D79" s="5">
        <f>_xlfn.NORM.S.INV(C79)</f>
        <v>0.51415610074453411</v>
      </c>
      <c r="E79" s="5">
        <v>23</v>
      </c>
      <c r="F79" s="5" t="s">
        <v>29</v>
      </c>
      <c r="G79" s="5" t="s">
        <v>28</v>
      </c>
      <c r="H79" s="5" t="s">
        <v>15</v>
      </c>
      <c r="I79" s="5">
        <f>(ROW(K79)-ROW($K$2)+0.5)/COUNT($K$2:$K$112)</f>
        <v>0.69819819819819817</v>
      </c>
      <c r="J79" s="5">
        <f>_xlfn.NORM.S.INV(I79)</f>
        <v>0.51922534949168586</v>
      </c>
      <c r="K79" s="6">
        <v>3.6</v>
      </c>
      <c r="L79" s="5" t="s">
        <v>21</v>
      </c>
      <c r="M79" s="5">
        <f>(ROW(O79)-ROW($O$2)+0.5)/COUNT($O$2:$O$112)</f>
        <v>0.69819819819819817</v>
      </c>
      <c r="N79" s="5">
        <f>_xlfn.NORM.S.INV(M79)</f>
        <v>0.51922534949168586</v>
      </c>
      <c r="O79" s="7">
        <v>65</v>
      </c>
      <c r="P79" s="7">
        <f>(ROW(R79)-ROW($R$2)+0.5)/COUNT($R$2:$R$112)</f>
        <v>0.69819819819819817</v>
      </c>
      <c r="Q79" s="7">
        <f>_xlfn.NORM.S.INV(P79)</f>
        <v>0.51922534949168586</v>
      </c>
      <c r="R79" s="5">
        <v>5</v>
      </c>
      <c r="S79" s="5">
        <f>(ROW(U79)-ROW($U$2)+0.5)/COUNT($U$2:$U$112)</f>
        <v>0.69819819819819817</v>
      </c>
      <c r="T79" s="5">
        <f>_xlfn.NORM.S.INV(S79)</f>
        <v>0.51922534949168586</v>
      </c>
      <c r="U79" s="5">
        <v>5</v>
      </c>
      <c r="V79" s="5">
        <f>(ROW(X79)-ROW($X$2)+0.5)/COUNT($T$2:$T$112)</f>
        <v>0.69819819819819817</v>
      </c>
      <c r="W79" s="5">
        <f>_xlfn.NORM.S.INV(V79)</f>
        <v>0.51922534949168586</v>
      </c>
      <c r="X79" s="5">
        <v>680</v>
      </c>
      <c r="Y79" s="5" t="s">
        <v>17</v>
      </c>
      <c r="Z79" s="5">
        <f>(ROW(AB79)-ROW($AB$2)+0.5)/COUNT($AB$2:$AB$112)</f>
        <v>0.69819819819819817</v>
      </c>
      <c r="AA79" s="5">
        <f>_xlfn.NORM.S.INV(Z79)</f>
        <v>0.51922534949168586</v>
      </c>
      <c r="AB79" s="5">
        <v>400</v>
      </c>
      <c r="AC79" s="5">
        <f t="shared" si="2"/>
        <v>0.69819819819819817</v>
      </c>
      <c r="AD79" s="5">
        <f t="shared" si="3"/>
        <v>0.51922534949168586</v>
      </c>
      <c r="AE79" s="7">
        <v>5</v>
      </c>
      <c r="AF79" s="5"/>
    </row>
    <row r="80" spans="1:32" x14ac:dyDescent="0.3">
      <c r="A80" s="5">
        <v>31</v>
      </c>
      <c r="B80" s="5" t="s">
        <v>18</v>
      </c>
      <c r="C80" s="5">
        <f>(ROW(E80)-1)/(COUNT($E$2:$E$112)+1)</f>
        <v>0.7053571428571429</v>
      </c>
      <c r="D80" s="5">
        <f>_xlfn.NORM.S.INV(C80)</f>
        <v>0.5398714122010615</v>
      </c>
      <c r="E80" s="5">
        <v>20</v>
      </c>
      <c r="F80" s="5" t="s">
        <v>13</v>
      </c>
      <c r="G80" s="5" t="s">
        <v>32</v>
      </c>
      <c r="H80" s="5" t="s">
        <v>26</v>
      </c>
      <c r="I80" s="5">
        <f>(ROW(K80)-ROW($K$2)+0.5)/COUNT($K$2:$K$112)</f>
        <v>0.7072072072072072</v>
      </c>
      <c r="J80" s="5">
        <f>_xlfn.NORM.S.INV(I80)</f>
        <v>0.54524418586888423</v>
      </c>
      <c r="K80" s="6">
        <v>3.4</v>
      </c>
      <c r="L80" s="5" t="s">
        <v>21</v>
      </c>
      <c r="M80" s="5">
        <f>(ROW(O80)-ROW($O$2)+0.5)/COUNT($O$2:$O$112)</f>
        <v>0.7072072072072072</v>
      </c>
      <c r="N80" s="5">
        <f>_xlfn.NORM.S.INV(M80)</f>
        <v>0.54524418586888423</v>
      </c>
      <c r="O80" s="7">
        <v>60</v>
      </c>
      <c r="P80" s="7">
        <f>(ROW(R80)-ROW($R$2)+0.5)/COUNT($R$2:$R$112)</f>
        <v>0.7072072072072072</v>
      </c>
      <c r="Q80" s="7">
        <f>_xlfn.NORM.S.INV(P80)</f>
        <v>0.54524418586888423</v>
      </c>
      <c r="R80" s="5">
        <v>4</v>
      </c>
      <c r="S80" s="5">
        <f>(ROW(U80)-ROW($U$2)+0.5)/COUNT($U$2:$U$112)</f>
        <v>0.7072072072072072</v>
      </c>
      <c r="T80" s="5">
        <f>_xlfn.NORM.S.INV(S80)</f>
        <v>0.54524418586888423</v>
      </c>
      <c r="U80" s="5">
        <v>3</v>
      </c>
      <c r="V80" s="5">
        <f>(ROW(X80)-ROW($X$2)+0.5)/COUNT($T$2:$T$112)</f>
        <v>0.7072072072072072</v>
      </c>
      <c r="W80" s="5">
        <f>_xlfn.NORM.S.INV(V80)</f>
        <v>0.54524418586888423</v>
      </c>
      <c r="X80" s="5">
        <v>1000</v>
      </c>
      <c r="Y80" s="5" t="s">
        <v>17</v>
      </c>
      <c r="Z80" s="5">
        <f>(ROW(AB80)-ROW($AB$2)+0.5)/COUNT($AB$2:$AB$112)</f>
        <v>0.7072072072072072</v>
      </c>
      <c r="AA80" s="5">
        <f>_xlfn.NORM.S.INV(Z80)</f>
        <v>0.54524418586888423</v>
      </c>
      <c r="AB80" s="5">
        <v>500</v>
      </c>
      <c r="AC80" s="5">
        <f t="shared" si="2"/>
        <v>0.7072072072072072</v>
      </c>
      <c r="AD80" s="5">
        <f t="shared" si="3"/>
        <v>0.54524418586888423</v>
      </c>
      <c r="AE80" s="7">
        <v>5</v>
      </c>
      <c r="AF80" s="5"/>
    </row>
    <row r="81" spans="1:32" x14ac:dyDescent="0.3">
      <c r="A81" s="5">
        <v>43</v>
      </c>
      <c r="B81" s="5" t="s">
        <v>12</v>
      </c>
      <c r="C81" s="5">
        <f>(ROW(E81)-1)/(COUNT($E$2:$E$112)+1)</f>
        <v>0.7142857142857143</v>
      </c>
      <c r="D81" s="5">
        <f>_xlfn.NORM.S.INV(C81)</f>
        <v>0.56594882193286311</v>
      </c>
      <c r="E81" s="5">
        <v>21</v>
      </c>
      <c r="F81" s="5" t="s">
        <v>19</v>
      </c>
      <c r="G81" s="5" t="s">
        <v>31</v>
      </c>
      <c r="H81" s="5" t="s">
        <v>26</v>
      </c>
      <c r="I81" s="5">
        <f>(ROW(K81)-ROW($K$2)+0.5)/COUNT($K$2:$K$112)</f>
        <v>0.71621621621621623</v>
      </c>
      <c r="J81" s="5">
        <f>_xlfn.NORM.S.INV(I81)</f>
        <v>0.5716375251650857</v>
      </c>
      <c r="K81" s="6">
        <v>3.5</v>
      </c>
      <c r="L81" s="5" t="s">
        <v>27</v>
      </c>
      <c r="M81" s="5">
        <f>(ROW(O81)-ROW($O$2)+0.5)/COUNT($O$2:$O$112)</f>
        <v>0.71621621621621623</v>
      </c>
      <c r="N81" s="5">
        <f>_xlfn.NORM.S.INV(M81)</f>
        <v>0.5716375251650857</v>
      </c>
      <c r="O81" s="7">
        <v>45</v>
      </c>
      <c r="P81" s="7">
        <f>(ROW(R81)-ROW($R$2)+0.5)/COUNT($R$2:$R$112)</f>
        <v>0.71621621621621623</v>
      </c>
      <c r="Q81" s="7">
        <f>_xlfn.NORM.S.INV(P81)</f>
        <v>0.5716375251650857</v>
      </c>
      <c r="R81" s="5">
        <v>5</v>
      </c>
      <c r="S81" s="5">
        <f>(ROW(U81)-ROW($U$2)+0.5)/COUNT($U$2:$U$112)</f>
        <v>0.71621621621621623</v>
      </c>
      <c r="T81" s="5">
        <f>_xlfn.NORM.S.INV(S81)</f>
        <v>0.5716375251650857</v>
      </c>
      <c r="U81" s="5">
        <v>5</v>
      </c>
      <c r="V81" s="5">
        <f>(ROW(X81)-ROW($X$2)+0.5)/COUNT($T$2:$T$112)</f>
        <v>0.71621621621621623</v>
      </c>
      <c r="W81" s="5">
        <f>_xlfn.NORM.S.INV(V81)</f>
        <v>0.5716375251650857</v>
      </c>
      <c r="X81" s="5">
        <v>800</v>
      </c>
      <c r="Y81" s="5" t="s">
        <v>17</v>
      </c>
      <c r="Z81" s="5">
        <f>(ROW(AB81)-ROW($AB$2)+0.5)/COUNT($AB$2:$AB$112)</f>
        <v>0.71621621621621623</v>
      </c>
      <c r="AA81" s="5">
        <f>_xlfn.NORM.S.INV(Z81)</f>
        <v>0.5716375251650857</v>
      </c>
      <c r="AB81" s="5">
        <v>50</v>
      </c>
      <c r="AC81" s="5">
        <f t="shared" si="2"/>
        <v>0.71621621621621623</v>
      </c>
      <c r="AD81" s="5">
        <f t="shared" si="3"/>
        <v>0.5716375251650857</v>
      </c>
      <c r="AE81" s="7">
        <v>6</v>
      </c>
      <c r="AF81" s="5"/>
    </row>
    <row r="82" spans="1:32" x14ac:dyDescent="0.3">
      <c r="A82" s="5">
        <v>85</v>
      </c>
      <c r="B82" s="5" t="s">
        <v>18</v>
      </c>
      <c r="C82" s="5">
        <f>(ROW(E82)-1)/(COUNT($E$2:$E$112)+1)</f>
        <v>0.7232142857142857</v>
      </c>
      <c r="D82" s="5">
        <f>_xlfn.NORM.S.INV(C82)</f>
        <v>0.59241693538223339</v>
      </c>
      <c r="E82" s="5">
        <v>23</v>
      </c>
      <c r="F82" s="5" t="s">
        <v>29</v>
      </c>
      <c r="G82" s="5" t="s">
        <v>28</v>
      </c>
      <c r="H82" s="5" t="s">
        <v>15</v>
      </c>
      <c r="I82" s="5">
        <f>(ROW(K82)-ROW($K$2)+0.5)/COUNT($K$2:$K$112)</f>
        <v>0.72522522522522526</v>
      </c>
      <c r="J82" s="5">
        <f>_xlfn.NORM.S.INV(I82)</f>
        <v>0.59843525240080009</v>
      </c>
      <c r="K82" s="6">
        <v>3.7</v>
      </c>
      <c r="L82" s="5" t="s">
        <v>21</v>
      </c>
      <c r="M82" s="5">
        <f>(ROW(O82)-ROW($O$2)+0.5)/COUNT($O$2:$O$112)</f>
        <v>0.72522522522522526</v>
      </c>
      <c r="N82" s="5">
        <f>_xlfn.NORM.S.INV(M82)</f>
        <v>0.59843525240080009</v>
      </c>
      <c r="O82" s="7">
        <v>65</v>
      </c>
      <c r="P82" s="7">
        <f>(ROW(R82)-ROW($R$2)+0.5)/COUNT($R$2:$R$112)</f>
        <v>0.72522522522522526</v>
      </c>
      <c r="Q82" s="7">
        <f>_xlfn.NORM.S.INV(P82)</f>
        <v>0.59843525240080009</v>
      </c>
      <c r="R82" s="5">
        <v>6</v>
      </c>
      <c r="S82" s="5">
        <f>(ROW(U82)-ROW($U$2)+0.5)/COUNT($U$2:$U$112)</f>
        <v>0.72522522522522526</v>
      </c>
      <c r="T82" s="5">
        <f>_xlfn.NORM.S.INV(S82)</f>
        <v>0.59843525240080009</v>
      </c>
      <c r="U82" s="5">
        <v>3</v>
      </c>
      <c r="V82" s="5">
        <f>(ROW(X82)-ROW($X$2)+0.5)/COUNT($T$2:$T$112)</f>
        <v>0.72522522522522526</v>
      </c>
      <c r="W82" s="5">
        <f>_xlfn.NORM.S.INV(V82)</f>
        <v>0.59843525240080009</v>
      </c>
      <c r="X82" s="5">
        <v>745</v>
      </c>
      <c r="Y82" s="5" t="s">
        <v>17</v>
      </c>
      <c r="Z82" s="5">
        <f>(ROW(AB82)-ROW($AB$2)+0.5)/COUNT($AB$2:$AB$112)</f>
        <v>0.72522522522522526</v>
      </c>
      <c r="AA82" s="5">
        <f>_xlfn.NORM.S.INV(Z82)</f>
        <v>0.59843525240080009</v>
      </c>
      <c r="AB82" s="5">
        <v>250</v>
      </c>
      <c r="AC82" s="5">
        <f t="shared" si="2"/>
        <v>0.72522522522522526</v>
      </c>
      <c r="AD82" s="5">
        <f t="shared" si="3"/>
        <v>0.59843525240080009</v>
      </c>
      <c r="AE82" s="7">
        <v>6</v>
      </c>
      <c r="AF82" s="5"/>
    </row>
    <row r="83" spans="1:32" x14ac:dyDescent="0.3">
      <c r="A83" s="5">
        <v>15</v>
      </c>
      <c r="B83" s="5" t="s">
        <v>18</v>
      </c>
      <c r="C83" s="5">
        <f>(ROW(E83)-1)/(COUNT($E$2:$E$112)+1)</f>
        <v>0.7321428571428571</v>
      </c>
      <c r="D83" s="5">
        <f>_xlfn.NORM.S.INV(C83)</f>
        <v>0.61930676950877606</v>
      </c>
      <c r="E83" s="5">
        <v>20</v>
      </c>
      <c r="F83" s="5" t="s">
        <v>19</v>
      </c>
      <c r="G83" s="5" t="s">
        <v>20</v>
      </c>
      <c r="H83" s="5" t="s">
        <v>15</v>
      </c>
      <c r="I83" s="5">
        <f>(ROW(K83)-ROW($K$2)+0.5)/COUNT($K$2:$K$112)</f>
        <v>0.73423423423423428</v>
      </c>
      <c r="J83" s="5">
        <f>_xlfn.NORM.S.INV(I83)</f>
        <v>0.62566982159467532</v>
      </c>
      <c r="K83" s="6">
        <v>3.2</v>
      </c>
      <c r="L83" s="5" t="s">
        <v>21</v>
      </c>
      <c r="M83" s="5">
        <f>(ROW(O83)-ROW($O$2)+0.5)/COUNT($O$2:$O$112)</f>
        <v>0.73423423423423428</v>
      </c>
      <c r="N83" s="5">
        <f>_xlfn.NORM.S.INV(M83)</f>
        <v>0.62566982159467532</v>
      </c>
      <c r="O83" s="7">
        <v>59</v>
      </c>
      <c r="P83" s="7">
        <f>(ROW(R83)-ROW($R$2)+0.5)/COUNT($R$2:$R$112)</f>
        <v>0.73423423423423428</v>
      </c>
      <c r="Q83" s="7">
        <f>_xlfn.NORM.S.INV(P83)</f>
        <v>0.62566982159467532</v>
      </c>
      <c r="R83" s="5">
        <v>0</v>
      </c>
      <c r="S83" s="5">
        <f>(ROW(U83)-ROW($U$2)+0.5)/COUNT($U$2:$U$112)</f>
        <v>0.73423423423423428</v>
      </c>
      <c r="T83" s="5">
        <f>_xlfn.NORM.S.INV(S83)</f>
        <v>0.62566982159467532</v>
      </c>
      <c r="U83" s="5">
        <v>4</v>
      </c>
      <c r="V83" s="5">
        <f>(ROW(X83)-ROW($X$2)+0.5)/COUNT($T$2:$T$112)</f>
        <v>0.73423423423423428</v>
      </c>
      <c r="W83" s="5">
        <f>_xlfn.NORM.S.INV(V83)</f>
        <v>0.62566982159467532</v>
      </c>
      <c r="X83" s="5">
        <v>1100</v>
      </c>
      <c r="Y83" s="5" t="s">
        <v>17</v>
      </c>
      <c r="Z83" s="5">
        <f>(ROW(AB83)-ROW($AB$2)+0.5)/COUNT($AB$2:$AB$112)</f>
        <v>0.73423423423423428</v>
      </c>
      <c r="AA83" s="5">
        <f>_xlfn.NORM.S.INV(Z83)</f>
        <v>0.62566982159467532</v>
      </c>
      <c r="AB83" s="5">
        <v>400</v>
      </c>
      <c r="AC83" s="5">
        <f t="shared" si="2"/>
        <v>0.73423423423423428</v>
      </c>
      <c r="AD83" s="5">
        <f t="shared" si="3"/>
        <v>0.62566982159467532</v>
      </c>
      <c r="AE83" s="7">
        <v>6</v>
      </c>
      <c r="AF83" s="5"/>
    </row>
    <row r="84" spans="1:32" x14ac:dyDescent="0.3">
      <c r="A84" s="5">
        <v>30</v>
      </c>
      <c r="B84" s="5" t="s">
        <v>18</v>
      </c>
      <c r="C84" s="5">
        <f>(ROW(E84)-1)/(COUNT($E$2:$E$112)+1)</f>
        <v>0.7410714285714286</v>
      </c>
      <c r="D84" s="5">
        <f>_xlfn.NORM.S.INV(C84)</f>
        <v>0.64665208107854044</v>
      </c>
      <c r="E84" s="5">
        <v>20</v>
      </c>
      <c r="F84" s="5" t="s">
        <v>13</v>
      </c>
      <c r="G84" s="5" t="s">
        <v>31</v>
      </c>
      <c r="H84" s="5" t="s">
        <v>26</v>
      </c>
      <c r="I84" s="5">
        <f>(ROW(K84)-ROW($K$2)+0.5)/COUNT($K$2:$K$112)</f>
        <v>0.7432432432432432</v>
      </c>
      <c r="J84" s="5">
        <f>_xlfn.NORM.S.INV(I84)</f>
        <v>0.65337661097153521</v>
      </c>
      <c r="K84" s="6">
        <v>3.1</v>
      </c>
      <c r="L84" s="5" t="s">
        <v>21</v>
      </c>
      <c r="M84" s="5">
        <f>(ROW(O84)-ROW($O$2)+0.5)/COUNT($O$2:$O$112)</f>
        <v>0.7432432432432432</v>
      </c>
      <c r="N84" s="5">
        <f>_xlfn.NORM.S.INV(M84)</f>
        <v>0.65337661097153521</v>
      </c>
      <c r="O84" s="7">
        <v>50</v>
      </c>
      <c r="P84" s="7">
        <f>(ROW(R84)-ROW($R$2)+0.5)/COUNT($R$2:$R$112)</f>
        <v>0.7432432432432432</v>
      </c>
      <c r="Q84" s="7">
        <f>_xlfn.NORM.S.INV(P84)</f>
        <v>0.65337661097153521</v>
      </c>
      <c r="R84" s="5">
        <v>4</v>
      </c>
      <c r="S84" s="5">
        <f>(ROW(U84)-ROW($U$2)+0.5)/COUNT($U$2:$U$112)</f>
        <v>0.7432432432432432</v>
      </c>
      <c r="T84" s="5">
        <f>_xlfn.NORM.S.INV(S84)</f>
        <v>0.65337661097153521</v>
      </c>
      <c r="U84" s="5">
        <v>4</v>
      </c>
      <c r="V84" s="5">
        <f>(ROW(X84)-ROW($X$2)+0.5)/COUNT($T$2:$T$112)</f>
        <v>0.7432432432432432</v>
      </c>
      <c r="W84" s="5">
        <f>_xlfn.NORM.S.INV(V84)</f>
        <v>0.65337661097153521</v>
      </c>
      <c r="X84" s="5">
        <v>900</v>
      </c>
      <c r="Y84" s="5" t="s">
        <v>17</v>
      </c>
      <c r="Z84" s="5">
        <f>(ROW(AB84)-ROW($AB$2)+0.5)/COUNT($AB$2:$AB$112)</f>
        <v>0.7432432432432432</v>
      </c>
      <c r="AA84" s="5">
        <f>_xlfn.NORM.S.INV(Z84)</f>
        <v>0.65337661097153521</v>
      </c>
      <c r="AB84" s="5">
        <v>140</v>
      </c>
      <c r="AC84" s="5">
        <f t="shared" si="2"/>
        <v>0.7432432432432432</v>
      </c>
      <c r="AD84" s="5">
        <f t="shared" si="3"/>
        <v>0.65337661097153521</v>
      </c>
      <c r="AE84" s="7">
        <v>7</v>
      </c>
      <c r="AF84" s="5"/>
    </row>
    <row r="85" spans="1:32" x14ac:dyDescent="0.3">
      <c r="A85" s="5">
        <v>69</v>
      </c>
      <c r="B85" s="5" t="s">
        <v>12</v>
      </c>
      <c r="C85" s="5">
        <f>(ROW(E85)-1)/(COUNT($E$2:$E$112)+1)</f>
        <v>0.75</v>
      </c>
      <c r="D85" s="5">
        <f>_xlfn.NORM.S.INV(C85)</f>
        <v>0.67448975019608193</v>
      </c>
      <c r="E85" s="5">
        <v>22</v>
      </c>
      <c r="F85" s="5" t="s">
        <v>19</v>
      </c>
      <c r="G85" s="5" t="s">
        <v>31</v>
      </c>
      <c r="H85" s="5" t="s">
        <v>15</v>
      </c>
      <c r="I85" s="5">
        <f>(ROW(K85)-ROW($K$2)+0.5)/COUNT($K$2:$K$112)</f>
        <v>0.75225225225225223</v>
      </c>
      <c r="J85" s="5">
        <f>_xlfn.NORM.S.INV(I85)</f>
        <v>0.68159433905286215</v>
      </c>
      <c r="K85" s="6">
        <v>2.8</v>
      </c>
      <c r="L85" s="5" t="s">
        <v>16</v>
      </c>
      <c r="M85" s="5">
        <f>(ROW(O85)-ROW($O$2)+0.5)/COUNT($O$2:$O$112)</f>
        <v>0.75225225225225223</v>
      </c>
      <c r="N85" s="5">
        <f>_xlfn.NORM.S.INV(M85)</f>
        <v>0.68159433905286215</v>
      </c>
      <c r="O85" s="7">
        <v>50</v>
      </c>
      <c r="P85" s="7">
        <f>(ROW(R85)-ROW($R$2)+0.5)/COUNT($R$2:$R$112)</f>
        <v>0.75225225225225223</v>
      </c>
      <c r="Q85" s="7">
        <f>_xlfn.NORM.S.INV(P85)</f>
        <v>0.68159433905286215</v>
      </c>
      <c r="R85" s="5">
        <v>3</v>
      </c>
      <c r="S85" s="5">
        <f>(ROW(U85)-ROW($U$2)+0.5)/COUNT($U$2:$U$112)</f>
        <v>0.75225225225225223</v>
      </c>
      <c r="T85" s="5">
        <f>_xlfn.NORM.S.INV(S85)</f>
        <v>0.68159433905286215</v>
      </c>
      <c r="U85" s="5">
        <v>2</v>
      </c>
      <c r="V85" s="5">
        <f>(ROW(X85)-ROW($X$2)+0.5)/COUNT($T$2:$T$112)</f>
        <v>0.75225225225225223</v>
      </c>
      <c r="W85" s="5">
        <f>_xlfn.NORM.S.INV(V85)</f>
        <v>0.68159433905286215</v>
      </c>
      <c r="X85" s="5">
        <v>800</v>
      </c>
      <c r="Y85" s="5" t="s">
        <v>17</v>
      </c>
      <c r="Z85" s="5">
        <f>(ROW(AB85)-ROW($AB$2)+0.5)/COUNT($AB$2:$AB$112)</f>
        <v>0.75225225225225223</v>
      </c>
      <c r="AA85" s="5">
        <f>_xlfn.NORM.S.INV(Z85)</f>
        <v>0.68159433905286215</v>
      </c>
      <c r="AB85" s="5">
        <v>0</v>
      </c>
      <c r="AC85" s="5">
        <f t="shared" si="2"/>
        <v>0.75225225225225223</v>
      </c>
      <c r="AD85" s="5">
        <f t="shared" si="3"/>
        <v>0.68159433905286215</v>
      </c>
      <c r="AE85" s="7">
        <v>7.5</v>
      </c>
      <c r="AF85" s="5"/>
    </row>
    <row r="86" spans="1:32" x14ac:dyDescent="0.3">
      <c r="A86" s="5">
        <v>75</v>
      </c>
      <c r="B86" s="5" t="s">
        <v>18</v>
      </c>
      <c r="C86" s="5">
        <f>(ROW(E86)-1)/(COUNT($E$2:$E$112)+1)</f>
        <v>0.7589285714285714</v>
      </c>
      <c r="D86" s="5">
        <f>_xlfn.NORM.S.INV(C86)</f>
        <v>0.70286023091909866</v>
      </c>
      <c r="E86" s="5">
        <v>23</v>
      </c>
      <c r="F86" s="5" t="s">
        <v>19</v>
      </c>
      <c r="G86" s="5" t="s">
        <v>20</v>
      </c>
      <c r="H86" s="5" t="s">
        <v>30</v>
      </c>
      <c r="I86" s="5">
        <f>(ROW(K86)-ROW($K$2)+0.5)/COUNT($K$2:$K$112)</f>
        <v>0.76126126126126126</v>
      </c>
      <c r="J86" s="5">
        <f>_xlfn.NORM.S.INV(I86)</f>
        <v>0.71036555491602327</v>
      </c>
      <c r="K86" s="6">
        <v>3.1</v>
      </c>
      <c r="L86" s="5" t="s">
        <v>21</v>
      </c>
      <c r="M86" s="5">
        <f>(ROW(O86)-ROW($O$2)+0.5)/COUNT($O$2:$O$112)</f>
        <v>0.76126126126126126</v>
      </c>
      <c r="N86" s="5">
        <f>_xlfn.NORM.S.INV(M86)</f>
        <v>0.71036555491602327</v>
      </c>
      <c r="O86" s="7">
        <v>55</v>
      </c>
      <c r="P86" s="7">
        <f>(ROW(R86)-ROW($R$2)+0.5)/COUNT($R$2:$R$112)</f>
        <v>0.76126126126126126</v>
      </c>
      <c r="Q86" s="7">
        <f>_xlfn.NORM.S.INV(P86)</f>
        <v>0.71036555491602327</v>
      </c>
      <c r="R86" s="5">
        <v>5</v>
      </c>
      <c r="S86" s="5">
        <f>(ROW(U86)-ROW($U$2)+0.5)/COUNT($U$2:$U$112)</f>
        <v>0.76126126126126126</v>
      </c>
      <c r="T86" s="5">
        <f>_xlfn.NORM.S.INV(S86)</f>
        <v>0.71036555491602327</v>
      </c>
      <c r="U86" s="5">
        <v>6</v>
      </c>
      <c r="V86" s="5">
        <f>(ROW(X86)-ROW($X$2)+0.5)/COUNT($T$2:$T$112)</f>
        <v>0.76126126126126126</v>
      </c>
      <c r="W86" s="5">
        <f>_xlfn.NORM.S.INV(V86)</f>
        <v>0.71036555491602327</v>
      </c>
      <c r="X86" s="5">
        <v>800</v>
      </c>
      <c r="Y86" s="5" t="s">
        <v>17</v>
      </c>
      <c r="Z86" s="5">
        <f>(ROW(AB86)-ROW($AB$2)+0.5)/COUNT($AB$2:$AB$112)</f>
        <v>0.76126126126126126</v>
      </c>
      <c r="AA86" s="5">
        <f>_xlfn.NORM.S.INV(Z86)</f>
        <v>0.71036555491602327</v>
      </c>
      <c r="AB86" s="5">
        <v>0</v>
      </c>
      <c r="AC86" s="5">
        <f t="shared" si="2"/>
        <v>0.76126126126126126</v>
      </c>
      <c r="AD86" s="5">
        <f t="shared" si="3"/>
        <v>0.71036555491602327</v>
      </c>
      <c r="AE86" s="7">
        <v>10</v>
      </c>
      <c r="AF86" s="5"/>
    </row>
    <row r="87" spans="1:32" x14ac:dyDescent="0.3">
      <c r="A87" s="5">
        <v>84</v>
      </c>
      <c r="B87" s="5" t="s">
        <v>18</v>
      </c>
      <c r="C87" s="5">
        <f>(ROW(E87)-1)/(COUNT($E$2:$E$112)+1)</f>
        <v>0.7678571428571429</v>
      </c>
      <c r="D87" s="5">
        <f>_xlfn.NORM.S.INV(C87)</f>
        <v>0.73180808385961771</v>
      </c>
      <c r="E87" s="5">
        <v>23</v>
      </c>
      <c r="F87" s="5" t="s">
        <v>19</v>
      </c>
      <c r="G87" s="5" t="s">
        <v>24</v>
      </c>
      <c r="H87" s="5" t="s">
        <v>26</v>
      </c>
      <c r="I87" s="5">
        <f>(ROW(K87)-ROW($K$2)+0.5)/COUNT($K$2:$K$112)</f>
        <v>0.77027027027027029</v>
      </c>
      <c r="J87" s="5">
        <f>_xlfn.NORM.S.INV(I87)</f>
        <v>0.73973721941388981</v>
      </c>
      <c r="K87" s="6">
        <v>3.3</v>
      </c>
      <c r="L87" s="5" t="s">
        <v>21</v>
      </c>
      <c r="M87" s="5">
        <f>(ROW(O87)-ROW($O$2)+0.5)/COUNT($O$2:$O$112)</f>
        <v>0.77027027027027029</v>
      </c>
      <c r="N87" s="5">
        <f>_xlfn.NORM.S.INV(M87)</f>
        <v>0.73973721941388981</v>
      </c>
      <c r="O87" s="7">
        <v>60</v>
      </c>
      <c r="P87" s="7">
        <f>(ROW(R87)-ROW($R$2)+0.5)/COUNT($R$2:$R$112)</f>
        <v>0.77027027027027029</v>
      </c>
      <c r="Q87" s="7">
        <f>_xlfn.NORM.S.INV(P87)</f>
        <v>0.73973721941388981</v>
      </c>
      <c r="R87" s="5">
        <v>8</v>
      </c>
      <c r="S87" s="5">
        <f>(ROW(U87)-ROW($U$2)+0.5)/COUNT($U$2:$U$112)</f>
        <v>0.77027027027027029</v>
      </c>
      <c r="T87" s="5">
        <f>_xlfn.NORM.S.INV(S87)</f>
        <v>0.73973721941388981</v>
      </c>
      <c r="U87" s="5">
        <v>5</v>
      </c>
      <c r="V87" s="5">
        <f>(ROW(X87)-ROW($X$2)+0.5)/COUNT($T$2:$T$112)</f>
        <v>0.77027027027027029</v>
      </c>
      <c r="W87" s="5">
        <f>_xlfn.NORM.S.INV(V87)</f>
        <v>0.73973721941388981</v>
      </c>
      <c r="X87" s="5">
        <v>750</v>
      </c>
      <c r="Y87" s="5" t="s">
        <v>17</v>
      </c>
      <c r="Z87" s="5">
        <f>(ROW(AB87)-ROW($AB$2)+0.5)/COUNT($AB$2:$AB$112)</f>
        <v>0.77027027027027029</v>
      </c>
      <c r="AA87" s="5">
        <f>_xlfn.NORM.S.INV(Z87)</f>
        <v>0.73973721941388981</v>
      </c>
      <c r="AB87" s="5">
        <v>5</v>
      </c>
      <c r="AC87" s="5">
        <f t="shared" si="2"/>
        <v>0.77027027027027029</v>
      </c>
      <c r="AD87" s="5">
        <f t="shared" si="3"/>
        <v>0.73973721941388981</v>
      </c>
      <c r="AE87" s="7">
        <v>10</v>
      </c>
      <c r="AF87" s="5"/>
    </row>
    <row r="88" spans="1:32" x14ac:dyDescent="0.3">
      <c r="A88" s="5">
        <v>83</v>
      </c>
      <c r="B88" s="5" t="s">
        <v>18</v>
      </c>
      <c r="C88" s="5">
        <f>(ROW(E88)-1)/(COUNT($E$2:$E$112)+1)</f>
        <v>0.7767857142857143</v>
      </c>
      <c r="D88" s="5">
        <f>_xlfn.NORM.S.INV(C88)</f>
        <v>0.76138260968642557</v>
      </c>
      <c r="E88" s="5">
        <v>23</v>
      </c>
      <c r="F88" s="5" t="s">
        <v>29</v>
      </c>
      <c r="G88" s="5" t="s">
        <v>20</v>
      </c>
      <c r="H88" s="5" t="s">
        <v>30</v>
      </c>
      <c r="I88" s="5">
        <f>(ROW(K88)-ROW($K$2)+0.5)/COUNT($K$2:$K$112)</f>
        <v>0.77927927927927931</v>
      </c>
      <c r="J88" s="5">
        <f>_xlfn.NORM.S.INV(I88)</f>
        <v>0.76976139875600935</v>
      </c>
      <c r="K88" s="6">
        <v>3</v>
      </c>
      <c r="L88" s="5" t="s">
        <v>21</v>
      </c>
      <c r="M88" s="5">
        <f>(ROW(O88)-ROW($O$2)+0.5)/COUNT($O$2:$O$112)</f>
        <v>0.77927927927927931</v>
      </c>
      <c r="N88" s="5">
        <f>_xlfn.NORM.S.INV(M88)</f>
        <v>0.76976139875600935</v>
      </c>
      <c r="O88" s="7">
        <v>45</v>
      </c>
      <c r="P88" s="7">
        <f>(ROW(R88)-ROW($R$2)+0.5)/COUNT($R$2:$R$112)</f>
        <v>0.77927927927927931</v>
      </c>
      <c r="Q88" s="7">
        <f>_xlfn.NORM.S.INV(P88)</f>
        <v>0.76976139875600935</v>
      </c>
      <c r="R88" s="5">
        <v>4</v>
      </c>
      <c r="S88" s="5">
        <f>(ROW(U88)-ROW($U$2)+0.5)/COUNT($U$2:$U$112)</f>
        <v>0.77927927927927931</v>
      </c>
      <c r="T88" s="5">
        <f>_xlfn.NORM.S.INV(S88)</f>
        <v>0.76976139875600935</v>
      </c>
      <c r="U88" s="5">
        <v>6</v>
      </c>
      <c r="V88" s="5">
        <f>(ROW(X88)-ROW($X$2)+0.5)/COUNT($T$2:$T$112)</f>
        <v>0.77927927927927931</v>
      </c>
      <c r="W88" s="5">
        <f>_xlfn.NORM.S.INV(V88)</f>
        <v>0.76976139875600935</v>
      </c>
      <c r="X88" s="5">
        <v>700</v>
      </c>
      <c r="Y88" s="5" t="s">
        <v>17</v>
      </c>
      <c r="Z88" s="5">
        <f>(ROW(AB88)-ROW($AB$2)+0.5)/COUNT($AB$2:$AB$112)</f>
        <v>0.77927927927927931</v>
      </c>
      <c r="AA88" s="5">
        <f>_xlfn.NORM.S.INV(Z88)</f>
        <v>0.76976139875600935</v>
      </c>
      <c r="AB88" s="5">
        <v>20</v>
      </c>
      <c r="AC88" s="5">
        <f t="shared" si="2"/>
        <v>0.77927927927927931</v>
      </c>
      <c r="AD88" s="5">
        <f t="shared" si="3"/>
        <v>0.76976139875600935</v>
      </c>
      <c r="AE88" s="7">
        <v>10</v>
      </c>
      <c r="AF88" s="5"/>
    </row>
    <row r="89" spans="1:32" x14ac:dyDescent="0.3">
      <c r="A89" s="5">
        <v>26</v>
      </c>
      <c r="B89" s="5" t="s">
        <v>18</v>
      </c>
      <c r="C89" s="5">
        <f>(ROW(E89)-1)/(COUNT($E$2:$E$112)+1)</f>
        <v>0.7857142857142857</v>
      </c>
      <c r="D89" s="5">
        <f>_xlfn.NORM.S.INV(C89)</f>
        <v>0.79163860774337469</v>
      </c>
      <c r="E89" s="5">
        <v>20</v>
      </c>
      <c r="F89" s="5" t="s">
        <v>19</v>
      </c>
      <c r="G89" s="5" t="s">
        <v>20</v>
      </c>
      <c r="H89" s="5" t="s">
        <v>15</v>
      </c>
      <c r="I89" s="5">
        <f>(ROW(K89)-ROW($K$2)+0.5)/COUNT($K$2:$K$112)</f>
        <v>0.78828828828828834</v>
      </c>
      <c r="J89" s="5">
        <f>_xlfn.NORM.S.INV(I89)</f>
        <v>0.80049609797455923</v>
      </c>
      <c r="K89" s="6">
        <v>3.3</v>
      </c>
      <c r="L89" s="5" t="s">
        <v>16</v>
      </c>
      <c r="M89" s="5">
        <f>(ROW(O89)-ROW($O$2)+0.5)/COUNT($O$2:$O$112)</f>
        <v>0.78828828828828834</v>
      </c>
      <c r="N89" s="5">
        <f>_xlfn.NORM.S.INV(M89)</f>
        <v>0.80049609797455923</v>
      </c>
      <c r="O89" s="7">
        <v>65</v>
      </c>
      <c r="P89" s="7">
        <f>(ROW(R89)-ROW($R$2)+0.5)/COUNT($R$2:$R$112)</f>
        <v>0.78828828828828834</v>
      </c>
      <c r="Q89" s="7">
        <f>_xlfn.NORM.S.INV(P89)</f>
        <v>0.80049609797455923</v>
      </c>
      <c r="R89" s="5">
        <v>0</v>
      </c>
      <c r="S89" s="5">
        <f>(ROW(U89)-ROW($U$2)+0.5)/COUNT($U$2:$U$112)</f>
        <v>0.78828828828828834</v>
      </c>
      <c r="T89" s="5">
        <f>_xlfn.NORM.S.INV(S89)</f>
        <v>0.80049609797455923</v>
      </c>
      <c r="U89" s="5">
        <v>1</v>
      </c>
      <c r="V89" s="5">
        <f>(ROW(X89)-ROW($X$2)+0.5)/COUNT($T$2:$T$112)</f>
        <v>0.78828828828828834</v>
      </c>
      <c r="W89" s="5">
        <f>_xlfn.NORM.S.INV(V89)</f>
        <v>0.80049609797455923</v>
      </c>
      <c r="X89" s="5">
        <v>800</v>
      </c>
      <c r="Y89" s="5" t="s">
        <v>22</v>
      </c>
      <c r="Z89" s="5">
        <f>(ROW(AB89)-ROW($AB$2)+0.5)/COUNT($AB$2:$AB$112)</f>
        <v>0.78828828828828834</v>
      </c>
      <c r="AA89" s="5">
        <f>_xlfn.NORM.S.INV(Z89)</f>
        <v>0.80049609797455923</v>
      </c>
      <c r="AB89" s="5">
        <v>40</v>
      </c>
      <c r="AC89" s="5">
        <f t="shared" si="2"/>
        <v>0.78828828828828834</v>
      </c>
      <c r="AD89" s="5">
        <f t="shared" si="3"/>
        <v>0.80049609797455923</v>
      </c>
      <c r="AE89" s="7">
        <v>10</v>
      </c>
      <c r="AF89" s="5"/>
    </row>
    <row r="90" spans="1:32" x14ac:dyDescent="0.3">
      <c r="A90" s="5">
        <v>2</v>
      </c>
      <c r="B90" s="5" t="s">
        <v>18</v>
      </c>
      <c r="C90" s="5">
        <f>(ROW(E90)-1)/(COUNT($E$2:$E$112)+1)</f>
        <v>0.7946428571428571</v>
      </c>
      <c r="D90" s="5">
        <f>_xlfn.NORM.S.INV(C90)</f>
        <v>0.82263729107406613</v>
      </c>
      <c r="E90" s="5">
        <v>18</v>
      </c>
      <c r="F90" s="5" t="s">
        <v>19</v>
      </c>
      <c r="G90" s="5" t="s">
        <v>20</v>
      </c>
      <c r="H90" s="5" t="s">
        <v>15</v>
      </c>
      <c r="I90" s="5">
        <f>(ROW(K90)-ROW($K$2)+0.5)/COUNT($K$2:$K$112)</f>
        <v>0.79729729729729726</v>
      </c>
      <c r="J90" s="5">
        <f>_xlfn.NORM.S.INV(I90)</f>
        <v>0.83200627001647276</v>
      </c>
      <c r="K90" s="6">
        <v>3.6</v>
      </c>
      <c r="L90" s="5" t="s">
        <v>21</v>
      </c>
      <c r="M90" s="5">
        <f>(ROW(O90)-ROW($O$2)+0.5)/COUNT($O$2:$O$112)</f>
        <v>0.79729729729729726</v>
      </c>
      <c r="N90" s="5">
        <f>_xlfn.NORM.S.INV(M90)</f>
        <v>0.83200627001647276</v>
      </c>
      <c r="O90" s="7">
        <v>30</v>
      </c>
      <c r="P90" s="7">
        <f>(ROW(R90)-ROW($R$2)+0.5)/COUNT($R$2:$R$112)</f>
        <v>0.79729729729729726</v>
      </c>
      <c r="Q90" s="7">
        <f>_xlfn.NORM.S.INV(P90)</f>
        <v>0.83200627001647276</v>
      </c>
      <c r="R90" s="5">
        <v>4</v>
      </c>
      <c r="S90" s="5">
        <f>(ROW(U90)-ROW($U$2)+0.5)/COUNT($U$2:$U$112)</f>
        <v>0.79729729729729726</v>
      </c>
      <c r="T90" s="5">
        <f>_xlfn.NORM.S.INV(S90)</f>
        <v>0.83200627001647276</v>
      </c>
      <c r="U90" s="5">
        <v>4</v>
      </c>
      <c r="V90" s="5">
        <f>(ROW(X90)-ROW($X$2)+0.5)/COUNT($T$2:$T$112)</f>
        <v>0.79729729729729726</v>
      </c>
      <c r="W90" s="5">
        <f>_xlfn.NORM.S.INV(V90)</f>
        <v>0.83200627001647276</v>
      </c>
      <c r="X90" s="5">
        <v>860</v>
      </c>
      <c r="Y90" s="5" t="s">
        <v>22</v>
      </c>
      <c r="Z90" s="5">
        <f>(ROW(AB90)-ROW($AB$2)+0.5)/COUNT($AB$2:$AB$112)</f>
        <v>0.79729729729729726</v>
      </c>
      <c r="AA90" s="5">
        <f>_xlfn.NORM.S.INV(Z90)</f>
        <v>0.83200627001647276</v>
      </c>
      <c r="AB90" s="5">
        <v>50</v>
      </c>
      <c r="AC90" s="5">
        <f t="shared" si="2"/>
        <v>0.79729729729729726</v>
      </c>
      <c r="AD90" s="5">
        <f t="shared" si="3"/>
        <v>0.83200627001647276</v>
      </c>
      <c r="AE90" s="7">
        <v>10</v>
      </c>
      <c r="AF90" s="5"/>
    </row>
    <row r="91" spans="1:32" x14ac:dyDescent="0.3">
      <c r="A91" s="5">
        <v>91</v>
      </c>
      <c r="B91" s="5" t="s">
        <v>18</v>
      </c>
      <c r="C91" s="5">
        <f>(ROW(E91)-1)/(COUNT($E$2:$E$112)+1)</f>
        <v>0.8035714285714286</v>
      </c>
      <c r="D91" s="5">
        <f>_xlfn.NORM.S.INV(C91)</f>
        <v>0.85444739869598973</v>
      </c>
      <c r="E91" s="5">
        <v>24</v>
      </c>
      <c r="F91" s="5" t="s">
        <v>29</v>
      </c>
      <c r="G91" s="5" t="s">
        <v>31</v>
      </c>
      <c r="H91" s="5" t="s">
        <v>26</v>
      </c>
      <c r="I91" s="5">
        <f>(ROW(K91)-ROW($K$2)+0.5)/COUNT($K$2:$K$112)</f>
        <v>0.80630630630630629</v>
      </c>
      <c r="J91" s="5">
        <f>_xlfn.NORM.S.INV(I91)</f>
        <v>0.86436504736313291</v>
      </c>
      <c r="K91" s="6">
        <v>3.3</v>
      </c>
      <c r="L91" s="5" t="s">
        <v>16</v>
      </c>
      <c r="M91" s="5">
        <f>(ROW(O91)-ROW($O$2)+0.5)/COUNT($O$2:$O$112)</f>
        <v>0.80630630630630629</v>
      </c>
      <c r="N91" s="5">
        <f>_xlfn.NORM.S.INV(M91)</f>
        <v>0.86436504736313291</v>
      </c>
      <c r="O91" s="7">
        <v>55</v>
      </c>
      <c r="P91" s="7">
        <f>(ROW(R91)-ROW($R$2)+0.5)/COUNT($R$2:$R$112)</f>
        <v>0.80630630630630629</v>
      </c>
      <c r="Q91" s="7">
        <f>_xlfn.NORM.S.INV(P91)</f>
        <v>0.86436504736313291</v>
      </c>
      <c r="R91" s="5">
        <v>4</v>
      </c>
      <c r="S91" s="5">
        <f>(ROW(U91)-ROW($U$2)+0.5)/COUNT($U$2:$U$112)</f>
        <v>0.80630630630630629</v>
      </c>
      <c r="T91" s="5">
        <f>_xlfn.NORM.S.INV(S91)</f>
        <v>0.86436504736313291</v>
      </c>
      <c r="U91" s="5">
        <v>5</v>
      </c>
      <c r="V91" s="5">
        <f>(ROW(X91)-ROW($X$2)+0.5)/COUNT($T$2:$T$112)</f>
        <v>0.80630630630630629</v>
      </c>
      <c r="W91" s="5">
        <f>_xlfn.NORM.S.INV(V91)</f>
        <v>0.86436504736313291</v>
      </c>
      <c r="X91" s="5">
        <v>800</v>
      </c>
      <c r="Y91" s="5" t="s">
        <v>17</v>
      </c>
      <c r="Z91" s="5">
        <f>(ROW(AB91)-ROW($AB$2)+0.5)/COUNT($AB$2:$AB$112)</f>
        <v>0.80630630630630629</v>
      </c>
      <c r="AA91" s="5">
        <f>_xlfn.NORM.S.INV(Z91)</f>
        <v>0.86436504736313291</v>
      </c>
      <c r="AB91" s="5">
        <v>75</v>
      </c>
      <c r="AC91" s="5">
        <f t="shared" si="2"/>
        <v>0.80630630630630629</v>
      </c>
      <c r="AD91" s="5">
        <f t="shared" si="3"/>
        <v>0.86436504736313291</v>
      </c>
      <c r="AE91" s="7">
        <v>10</v>
      </c>
      <c r="AF91" s="5"/>
    </row>
    <row r="92" spans="1:32" x14ac:dyDescent="0.3">
      <c r="A92" s="5">
        <v>67</v>
      </c>
      <c r="B92" s="5" t="s">
        <v>18</v>
      </c>
      <c r="C92" s="5">
        <f>(ROW(E92)-1)/(COUNT($E$2:$E$112)+1)</f>
        <v>0.8125</v>
      </c>
      <c r="D92" s="5">
        <f>_xlfn.NORM.S.INV(C92)</f>
        <v>0.88714655901887607</v>
      </c>
      <c r="E92" s="5">
        <v>22</v>
      </c>
      <c r="F92" s="5" t="s">
        <v>13</v>
      </c>
      <c r="G92" s="5" t="s">
        <v>31</v>
      </c>
      <c r="H92" s="5" t="s">
        <v>30</v>
      </c>
      <c r="I92" s="5">
        <f>(ROW(K92)-ROW($K$2)+0.5)/COUNT($K$2:$K$112)</f>
        <v>0.81531531531531531</v>
      </c>
      <c r="J92" s="5">
        <f>_xlfn.NORM.S.INV(I92)</f>
        <v>0.89765525842446814</v>
      </c>
      <c r="K92" s="6">
        <v>2.2000000000000002</v>
      </c>
      <c r="L92" s="5" t="s">
        <v>27</v>
      </c>
      <c r="M92" s="5">
        <f>(ROW(O92)-ROW($O$2)+0.5)/COUNT($O$2:$O$112)</f>
        <v>0.81531531531531531</v>
      </c>
      <c r="N92" s="5">
        <f>_xlfn.NORM.S.INV(M92)</f>
        <v>0.89765525842446814</v>
      </c>
      <c r="O92" s="7">
        <v>50</v>
      </c>
      <c r="P92" s="7">
        <f>(ROW(R92)-ROW($R$2)+0.5)/COUNT($R$2:$R$112)</f>
        <v>0.81531531531531531</v>
      </c>
      <c r="Q92" s="7">
        <f>_xlfn.NORM.S.INV(P92)</f>
        <v>0.89765525842446814</v>
      </c>
      <c r="R92" s="5">
        <v>5</v>
      </c>
      <c r="S92" s="5">
        <f>(ROW(U92)-ROW($U$2)+0.5)/COUNT($U$2:$U$112)</f>
        <v>0.81531531531531531</v>
      </c>
      <c r="T92" s="5">
        <f>_xlfn.NORM.S.INV(S92)</f>
        <v>0.89765525842446814</v>
      </c>
      <c r="U92" s="5">
        <v>4</v>
      </c>
      <c r="V92" s="5">
        <f>(ROW(X92)-ROW($X$2)+0.5)/COUNT($T$2:$T$112)</f>
        <v>0.81531531531531531</v>
      </c>
      <c r="W92" s="5">
        <f>_xlfn.NORM.S.INV(V92)</f>
        <v>0.89765525842446814</v>
      </c>
      <c r="X92" s="5">
        <v>650</v>
      </c>
      <c r="Y92" s="5" t="s">
        <v>22</v>
      </c>
      <c r="Z92" s="5">
        <f>(ROW(AB92)-ROW($AB$2)+0.5)/COUNT($AB$2:$AB$112)</f>
        <v>0.81531531531531531</v>
      </c>
      <c r="AA92" s="5">
        <f>_xlfn.NORM.S.INV(Z92)</f>
        <v>0.89765525842446814</v>
      </c>
      <c r="AB92" s="5">
        <v>100</v>
      </c>
      <c r="AC92" s="5">
        <f t="shared" si="2"/>
        <v>0.81531531531531531</v>
      </c>
      <c r="AD92" s="5">
        <f t="shared" si="3"/>
        <v>0.89765525842446814</v>
      </c>
      <c r="AE92" s="7">
        <v>10</v>
      </c>
      <c r="AF92" s="5"/>
    </row>
    <row r="93" spans="1:32" x14ac:dyDescent="0.3">
      <c r="A93" s="5">
        <v>64</v>
      </c>
      <c r="B93" s="5" t="s">
        <v>18</v>
      </c>
      <c r="C93" s="5">
        <f>(ROW(E93)-1)/(COUNT($E$2:$E$112)+1)</f>
        <v>0.8214285714285714</v>
      </c>
      <c r="D93" s="5">
        <f>_xlfn.NORM.S.INV(C93)</f>
        <v>0.9208229763683794</v>
      </c>
      <c r="E93" s="5">
        <v>22</v>
      </c>
      <c r="F93" s="5" t="s">
        <v>29</v>
      </c>
      <c r="G93" s="5" t="s">
        <v>28</v>
      </c>
      <c r="H93" s="5" t="s">
        <v>30</v>
      </c>
      <c r="I93" s="5">
        <f>(ROW(K93)-ROW($K$2)+0.5)/COUNT($K$2:$K$112)</f>
        <v>0.82432432432432434</v>
      </c>
      <c r="J93" s="5">
        <f>_xlfn.NORM.S.INV(I93)</f>
        <v>0.93197131234319142</v>
      </c>
      <c r="K93" s="6">
        <v>3.1</v>
      </c>
      <c r="L93" s="5" t="s">
        <v>21</v>
      </c>
      <c r="M93" s="5">
        <f>(ROW(O93)-ROW($O$2)+0.5)/COUNT($O$2:$O$112)</f>
        <v>0.82432432432432434</v>
      </c>
      <c r="N93" s="5">
        <f>_xlfn.NORM.S.INV(M93)</f>
        <v>0.93197131234319142</v>
      </c>
      <c r="O93" s="7">
        <v>65</v>
      </c>
      <c r="P93" s="7">
        <f>(ROW(R93)-ROW($R$2)+0.5)/COUNT($R$2:$R$112)</f>
        <v>0.82432432432432434</v>
      </c>
      <c r="Q93" s="7">
        <f>_xlfn.NORM.S.INV(P93)</f>
        <v>0.93197131234319142</v>
      </c>
      <c r="R93" s="5">
        <v>9</v>
      </c>
      <c r="S93" s="5">
        <f>(ROW(U93)-ROW($U$2)+0.5)/COUNT($U$2:$U$112)</f>
        <v>0.82432432432432434</v>
      </c>
      <c r="T93" s="5">
        <f>_xlfn.NORM.S.INV(S93)</f>
        <v>0.93197131234319142</v>
      </c>
      <c r="U93" s="5">
        <v>4</v>
      </c>
      <c r="V93" s="5">
        <f>(ROW(X93)-ROW($X$2)+0.5)/COUNT($T$2:$T$112)</f>
        <v>0.82432432432432434</v>
      </c>
      <c r="W93" s="5">
        <f>_xlfn.NORM.S.INV(V93)</f>
        <v>0.93197131234319142</v>
      </c>
      <c r="X93" s="5">
        <v>650</v>
      </c>
      <c r="Y93" s="5" t="s">
        <v>17</v>
      </c>
      <c r="Z93" s="5">
        <f>(ROW(AB93)-ROW($AB$2)+0.5)/COUNT($AB$2:$AB$112)</f>
        <v>0.82432432432432434</v>
      </c>
      <c r="AA93" s="5">
        <f>_xlfn.NORM.S.INV(Z93)</f>
        <v>0.93197131234319142</v>
      </c>
      <c r="AB93" s="5">
        <v>200</v>
      </c>
      <c r="AC93" s="5">
        <f t="shared" si="2"/>
        <v>0.82432432432432434</v>
      </c>
      <c r="AD93" s="5">
        <f t="shared" si="3"/>
        <v>0.93197131234319142</v>
      </c>
      <c r="AE93" s="7">
        <v>10</v>
      </c>
      <c r="AF93" s="5"/>
    </row>
    <row r="94" spans="1:32" x14ac:dyDescent="0.3">
      <c r="A94" s="5">
        <v>86</v>
      </c>
      <c r="B94" s="5" t="s">
        <v>12</v>
      </c>
      <c r="C94" s="5">
        <f>(ROW(E94)-1)/(COUNT($E$2:$E$112)+1)</f>
        <v>0.8303571428571429</v>
      </c>
      <c r="D94" s="5">
        <f>_xlfn.NORM.S.INV(C94)</f>
        <v>0.95557753794043188</v>
      </c>
      <c r="E94" s="5">
        <v>23</v>
      </c>
      <c r="F94" s="5" t="s">
        <v>13</v>
      </c>
      <c r="G94" s="5" t="s">
        <v>20</v>
      </c>
      <c r="H94" s="5" t="s">
        <v>26</v>
      </c>
      <c r="I94" s="5">
        <f>(ROW(K94)-ROW($K$2)+0.5)/COUNT($K$2:$K$112)</f>
        <v>0.83333333333333337</v>
      </c>
      <c r="J94" s="5">
        <f>_xlfn.NORM.S.INV(I94)</f>
        <v>0.96742156610170071</v>
      </c>
      <c r="K94" s="6">
        <v>2.8</v>
      </c>
      <c r="L94" s="5" t="s">
        <v>21</v>
      </c>
      <c r="M94" s="5">
        <f>(ROW(O94)-ROW($O$2)+0.5)/COUNT($O$2:$O$112)</f>
        <v>0.83333333333333337</v>
      </c>
      <c r="N94" s="5">
        <f>_xlfn.NORM.S.INV(M94)</f>
        <v>0.96742156610170071</v>
      </c>
      <c r="O94" s="7">
        <v>45</v>
      </c>
      <c r="P94" s="7">
        <f>(ROW(R94)-ROW($R$2)+0.5)/COUNT($R$2:$R$112)</f>
        <v>0.83333333333333337</v>
      </c>
      <c r="Q94" s="7">
        <f>_xlfn.NORM.S.INV(P94)</f>
        <v>0.96742156610170071</v>
      </c>
      <c r="R94" s="5">
        <v>7</v>
      </c>
      <c r="S94" s="5">
        <f>(ROW(U94)-ROW($U$2)+0.5)/COUNT($U$2:$U$112)</f>
        <v>0.83333333333333337</v>
      </c>
      <c r="T94" s="5">
        <f>_xlfn.NORM.S.INV(S94)</f>
        <v>0.96742156610170071</v>
      </c>
      <c r="U94" s="5">
        <v>4</v>
      </c>
      <c r="V94" s="5">
        <f>(ROW(X94)-ROW($X$2)+0.5)/COUNT($T$2:$T$112)</f>
        <v>0.83333333333333337</v>
      </c>
      <c r="W94" s="5">
        <f>_xlfn.NORM.S.INV(V94)</f>
        <v>0.96742156610170071</v>
      </c>
      <c r="X94" s="5">
        <v>715</v>
      </c>
      <c r="Y94" s="5" t="s">
        <v>17</v>
      </c>
      <c r="Z94" s="5">
        <f>(ROW(AB94)-ROW($AB$2)+0.5)/COUNT($AB$2:$AB$112)</f>
        <v>0.83333333333333337</v>
      </c>
      <c r="AA94" s="5">
        <f>_xlfn.NORM.S.INV(Z94)</f>
        <v>0.96742156610170071</v>
      </c>
      <c r="AB94" s="5">
        <v>200</v>
      </c>
      <c r="AC94" s="5">
        <f t="shared" si="2"/>
        <v>0.83333333333333337</v>
      </c>
      <c r="AD94" s="5">
        <f t="shared" si="3"/>
        <v>0.96742156610170071</v>
      </c>
      <c r="AE94" s="7">
        <v>10</v>
      </c>
      <c r="AF94" s="5"/>
    </row>
    <row r="95" spans="1:32" x14ac:dyDescent="0.3">
      <c r="A95" s="5">
        <v>104</v>
      </c>
      <c r="B95" s="5" t="s">
        <v>18</v>
      </c>
      <c r="C95" s="5">
        <f>(ROW(E95)-1)/(COUNT($E$2:$E$112)+1)</f>
        <v>0.8392857142857143</v>
      </c>
      <c r="D95" s="5">
        <f>_xlfn.NORM.S.INV(C95)</f>
        <v>0.99152647467733057</v>
      </c>
      <c r="E95" s="5">
        <v>26</v>
      </c>
      <c r="F95" s="5" t="s">
        <v>29</v>
      </c>
      <c r="G95" s="5" t="s">
        <v>14</v>
      </c>
      <c r="H95" s="5" t="s">
        <v>30</v>
      </c>
      <c r="I95" s="5">
        <f>(ROW(K95)-ROW($K$2)+0.5)/COUNT($K$2:$K$112)</f>
        <v>0.84234234234234229</v>
      </c>
      <c r="J95" s="5">
        <f>_xlfn.NORM.S.INV(I95)</f>
        <v>1.0041313313244848</v>
      </c>
      <c r="K95" s="6">
        <v>3</v>
      </c>
      <c r="L95" s="5" t="s">
        <v>21</v>
      </c>
      <c r="M95" s="5">
        <f>(ROW(O95)-ROW($O$2)+0.5)/COUNT($O$2:$O$112)</f>
        <v>0.84234234234234229</v>
      </c>
      <c r="N95" s="5">
        <f>_xlfn.NORM.S.INV(M95)</f>
        <v>1.0041313313244848</v>
      </c>
      <c r="O95" s="7">
        <v>45</v>
      </c>
      <c r="P95" s="7">
        <f>(ROW(R95)-ROW($R$2)+0.5)/COUNT($R$2:$R$112)</f>
        <v>0.84234234234234229</v>
      </c>
      <c r="Q95" s="7">
        <f>_xlfn.NORM.S.INV(P95)</f>
        <v>1.0041313313244848</v>
      </c>
      <c r="R95" s="5">
        <v>6</v>
      </c>
      <c r="S95" s="5">
        <f>(ROW(U95)-ROW($U$2)+0.5)/COUNT($U$2:$U$112)</f>
        <v>0.84234234234234229</v>
      </c>
      <c r="T95" s="5">
        <f>_xlfn.NORM.S.INV(S95)</f>
        <v>1.0041313313244848</v>
      </c>
      <c r="U95" s="5">
        <v>5</v>
      </c>
      <c r="V95" s="5">
        <f>(ROW(X95)-ROW($X$2)+0.5)/COUNT($T$2:$T$112)</f>
        <v>0.84234234234234229</v>
      </c>
      <c r="W95" s="5">
        <f>_xlfn.NORM.S.INV(V95)</f>
        <v>1.0041313313244848</v>
      </c>
      <c r="X95" s="5">
        <v>800</v>
      </c>
      <c r="Y95" s="5" t="s">
        <v>17</v>
      </c>
      <c r="Z95" s="5">
        <f>(ROW(AB95)-ROW($AB$2)+0.5)/COUNT($AB$2:$AB$112)</f>
        <v>0.84234234234234229</v>
      </c>
      <c r="AA95" s="5">
        <f>_xlfn.NORM.S.INV(Z95)</f>
        <v>1.0041313313244848</v>
      </c>
      <c r="AB95" s="5">
        <v>210</v>
      </c>
      <c r="AC95" s="5">
        <f t="shared" si="2"/>
        <v>0.84234234234234229</v>
      </c>
      <c r="AD95" s="5">
        <f t="shared" si="3"/>
        <v>1.0041313313244848</v>
      </c>
      <c r="AE95" s="7">
        <v>10</v>
      </c>
      <c r="AF95" s="5"/>
    </row>
    <row r="96" spans="1:32" x14ac:dyDescent="0.3">
      <c r="A96" s="5">
        <v>18</v>
      </c>
      <c r="B96" s="5" t="s">
        <v>18</v>
      </c>
      <c r="C96" s="5">
        <f>(ROW(E96)-1)/(COUNT($E$2:$E$112)+1)</f>
        <v>0.8482142857142857</v>
      </c>
      <c r="D96" s="5">
        <f>_xlfn.NORM.S.INV(C96)</f>
        <v>1.0288047620058449</v>
      </c>
      <c r="E96" s="5">
        <v>20</v>
      </c>
      <c r="F96" s="5" t="s">
        <v>29</v>
      </c>
      <c r="G96" s="5" t="s">
        <v>28</v>
      </c>
      <c r="H96" s="5" t="s">
        <v>26</v>
      </c>
      <c r="I96" s="5">
        <f>(ROW(K96)-ROW($K$2)+0.5)/COUNT($K$2:$K$112)</f>
        <v>0.85135135135135132</v>
      </c>
      <c r="J96" s="5">
        <f>_xlfn.NORM.S.INV(I96)</f>
        <v>1.042246741832408</v>
      </c>
      <c r="K96" s="6">
        <v>3.1</v>
      </c>
      <c r="L96" s="5" t="s">
        <v>21</v>
      </c>
      <c r="M96" s="5">
        <f>(ROW(O96)-ROW($O$2)+0.5)/COUNT($O$2:$O$112)</f>
        <v>0.85135135135135132</v>
      </c>
      <c r="N96" s="5">
        <f>_xlfn.NORM.S.INV(M96)</f>
        <v>1.042246741832408</v>
      </c>
      <c r="O96" s="7">
        <v>60</v>
      </c>
      <c r="P96" s="7">
        <f>(ROW(R96)-ROW($R$2)+0.5)/COUNT($R$2:$R$112)</f>
        <v>0.85135135135135132</v>
      </c>
      <c r="Q96" s="7">
        <f>_xlfn.NORM.S.INV(P96)</f>
        <v>1.042246741832408</v>
      </c>
      <c r="R96" s="5">
        <v>2</v>
      </c>
      <c r="S96" s="5">
        <f>(ROW(U96)-ROW($U$2)+0.5)/COUNT($U$2:$U$112)</f>
        <v>0.85135135135135132</v>
      </c>
      <c r="T96" s="5">
        <f>_xlfn.NORM.S.INV(S96)</f>
        <v>1.042246741832408</v>
      </c>
      <c r="U96" s="5">
        <v>3</v>
      </c>
      <c r="V96" s="5">
        <f>(ROW(X96)-ROW($X$2)+0.5)/COUNT($T$2:$T$112)</f>
        <v>0.85135135135135132</v>
      </c>
      <c r="W96" s="5">
        <f>_xlfn.NORM.S.INV(V96)</f>
        <v>1.042246741832408</v>
      </c>
      <c r="X96" s="5">
        <v>1100</v>
      </c>
      <c r="Y96" s="5" t="s">
        <v>17</v>
      </c>
      <c r="Z96" s="5">
        <f>(ROW(AB96)-ROW($AB$2)+0.5)/COUNT($AB$2:$AB$112)</f>
        <v>0.85135135135135132</v>
      </c>
      <c r="AA96" s="5">
        <f>_xlfn.NORM.S.INV(Z96)</f>
        <v>1.042246741832408</v>
      </c>
      <c r="AB96" s="5">
        <v>300</v>
      </c>
      <c r="AC96" s="5">
        <f t="shared" si="2"/>
        <v>0.85135135135135132</v>
      </c>
      <c r="AD96" s="5">
        <f t="shared" si="3"/>
        <v>1.042246741832408</v>
      </c>
      <c r="AE96" s="7">
        <v>10</v>
      </c>
      <c r="AF96" s="5"/>
    </row>
    <row r="97" spans="1:32" x14ac:dyDescent="0.3">
      <c r="A97" s="5">
        <v>22</v>
      </c>
      <c r="B97" s="5" t="s">
        <v>18</v>
      </c>
      <c r="C97" s="5">
        <f>(ROW(E97)-1)/(COUNT($E$2:$E$112)+1)</f>
        <v>0.8571428571428571</v>
      </c>
      <c r="D97" s="5">
        <f>_xlfn.NORM.S.INV(C97)</f>
        <v>1.0675705238781419</v>
      </c>
      <c r="E97" s="5">
        <v>20</v>
      </c>
      <c r="F97" s="5" t="s">
        <v>13</v>
      </c>
      <c r="G97" s="5" t="s">
        <v>32</v>
      </c>
      <c r="H97" s="5" t="s">
        <v>26</v>
      </c>
      <c r="I97" s="5">
        <f>(ROW(K97)-ROW($K$2)+0.5)/COUNT($K$2:$K$112)</f>
        <v>0.86036036036036034</v>
      </c>
      <c r="J97" s="5">
        <f>_xlfn.NORM.S.INV(I97)</f>
        <v>1.0819397980292538</v>
      </c>
      <c r="K97" s="6">
        <v>2.95</v>
      </c>
      <c r="L97" s="5" t="s">
        <v>27</v>
      </c>
      <c r="M97" s="5">
        <f>(ROW(O97)-ROW($O$2)+0.5)/COUNT($O$2:$O$112)</f>
        <v>0.86036036036036034</v>
      </c>
      <c r="N97" s="5">
        <f>_xlfn.NORM.S.INV(M97)</f>
        <v>1.0819397980292538</v>
      </c>
      <c r="O97" s="7">
        <v>65</v>
      </c>
      <c r="P97" s="7">
        <f>(ROW(R97)-ROW($R$2)+0.5)/COUNT($R$2:$R$112)</f>
        <v>0.86036036036036034</v>
      </c>
      <c r="Q97" s="7">
        <f>_xlfn.NORM.S.INV(P97)</f>
        <v>1.0819397980292538</v>
      </c>
      <c r="R97" s="5">
        <v>9</v>
      </c>
      <c r="S97" s="5">
        <f>(ROW(U97)-ROW($U$2)+0.5)/COUNT($U$2:$U$112)</f>
        <v>0.86036036036036034</v>
      </c>
      <c r="T97" s="5">
        <f>_xlfn.NORM.S.INV(S97)</f>
        <v>1.0819397980292538</v>
      </c>
      <c r="U97" s="5">
        <v>4</v>
      </c>
      <c r="V97" s="5">
        <f>(ROW(X97)-ROW($X$2)+0.5)/COUNT($T$2:$T$112)</f>
        <v>0.86036036036036034</v>
      </c>
      <c r="W97" s="5">
        <f>_xlfn.NORM.S.INV(V97)</f>
        <v>1.0819397980292538</v>
      </c>
      <c r="X97" s="5">
        <v>1100</v>
      </c>
      <c r="Y97" s="5" t="s">
        <v>17</v>
      </c>
      <c r="Z97" s="5">
        <f>(ROW(AB97)-ROW($AB$2)+0.5)/COUNT($AB$2:$AB$112)</f>
        <v>0.86036036036036034</v>
      </c>
      <c r="AA97" s="5">
        <f>_xlfn.NORM.S.INV(Z97)</f>
        <v>1.0819397980292538</v>
      </c>
      <c r="AB97" s="5">
        <v>500</v>
      </c>
      <c r="AC97" s="5">
        <f t="shared" si="2"/>
        <v>0.86036036036036034</v>
      </c>
      <c r="AD97" s="5">
        <f t="shared" si="3"/>
        <v>1.0819397980292538</v>
      </c>
      <c r="AE97" s="7">
        <v>10</v>
      </c>
      <c r="AF97" s="5"/>
    </row>
    <row r="98" spans="1:32" x14ac:dyDescent="0.3">
      <c r="A98" s="5">
        <v>53</v>
      </c>
      <c r="B98" s="5" t="s">
        <v>12</v>
      </c>
      <c r="C98" s="5">
        <f>(ROW(E98)-1)/(COUNT($E$2:$E$112)+1)</f>
        <v>0.8660714285714286</v>
      </c>
      <c r="D98" s="5">
        <f>_xlfn.NORM.S.INV(C98)</f>
        <v>1.1080108204698569</v>
      </c>
      <c r="E98" s="5">
        <v>21</v>
      </c>
      <c r="F98" s="5" t="s">
        <v>19</v>
      </c>
      <c r="G98" s="5" t="s">
        <v>31</v>
      </c>
      <c r="H98" s="5" t="s">
        <v>26</v>
      </c>
      <c r="I98" s="5">
        <f>(ROW(K98)-ROW($K$2)+0.5)/COUNT($K$2:$K$112)</f>
        <v>0.86936936936936937</v>
      </c>
      <c r="J98" s="5">
        <f>_xlfn.NORM.S.INV(I98)</f>
        <v>1.123415049164985</v>
      </c>
      <c r="K98" s="6">
        <v>3.7</v>
      </c>
      <c r="L98" s="5" t="s">
        <v>21</v>
      </c>
      <c r="M98" s="5">
        <f>(ROW(O98)-ROW($O$2)+0.5)/COUNT($O$2:$O$112)</f>
        <v>0.86936936936936937</v>
      </c>
      <c r="N98" s="5">
        <f>_xlfn.NORM.S.INV(M98)</f>
        <v>1.123415049164985</v>
      </c>
      <c r="O98" s="7">
        <v>45</v>
      </c>
      <c r="P98" s="7">
        <f>(ROW(R98)-ROW($R$2)+0.5)/COUNT($R$2:$R$112)</f>
        <v>0.86936936936936937</v>
      </c>
      <c r="Q98" s="7">
        <f>_xlfn.NORM.S.INV(P98)</f>
        <v>1.123415049164985</v>
      </c>
      <c r="R98" s="5">
        <v>3</v>
      </c>
      <c r="S98" s="5">
        <f>(ROW(U98)-ROW($U$2)+0.5)/COUNT($U$2:$U$112)</f>
        <v>0.86936936936936937</v>
      </c>
      <c r="T98" s="5">
        <f>_xlfn.NORM.S.INV(S98)</f>
        <v>1.123415049164985</v>
      </c>
      <c r="U98" s="5">
        <v>4</v>
      </c>
      <c r="V98" s="5">
        <f>(ROW(X98)-ROW($X$2)+0.5)/COUNT($T$2:$T$112)</f>
        <v>0.86936936936936937</v>
      </c>
      <c r="W98" s="5">
        <f>_xlfn.NORM.S.INV(V98)</f>
        <v>1.123415049164985</v>
      </c>
      <c r="X98" s="5">
        <v>800</v>
      </c>
      <c r="Y98" s="5" t="s">
        <v>17</v>
      </c>
      <c r="Z98" s="5">
        <f>(ROW(AB98)-ROW($AB$2)+0.5)/COUNT($AB$2:$AB$112)</f>
        <v>0.86936936936936937</v>
      </c>
      <c r="AA98" s="5">
        <f>_xlfn.NORM.S.INV(Z98)</f>
        <v>1.123415049164985</v>
      </c>
      <c r="AB98" s="5">
        <v>700</v>
      </c>
      <c r="AC98" s="5">
        <f t="shared" si="2"/>
        <v>0.86936936936936937</v>
      </c>
      <c r="AD98" s="5">
        <f t="shared" si="3"/>
        <v>1.123415049164985</v>
      </c>
      <c r="AE98" s="7">
        <v>10</v>
      </c>
      <c r="AF98" s="5"/>
    </row>
    <row r="99" spans="1:32" x14ac:dyDescent="0.3">
      <c r="A99" s="14">
        <v>100</v>
      </c>
      <c r="B99" s="14" t="s">
        <v>18</v>
      </c>
      <c r="C99" s="5">
        <f>(ROW(E99)-1)/(COUNT($E$2:$E$112)+1)</f>
        <v>0.875</v>
      </c>
      <c r="D99" s="5">
        <f>_xlfn.NORM.S.INV(C99)</f>
        <v>1.1503493803760083</v>
      </c>
      <c r="E99" s="14">
        <v>25</v>
      </c>
      <c r="F99" s="14" t="s">
        <v>19</v>
      </c>
      <c r="G99" s="14" t="s">
        <v>14</v>
      </c>
      <c r="H99" s="14" t="s">
        <v>30</v>
      </c>
      <c r="I99" s="5">
        <f>(ROW(K99)-ROW($K$2)+0.5)/COUNT($K$2:$K$112)</f>
        <v>0.8783783783783784</v>
      </c>
      <c r="J99" s="5">
        <f>_xlfn.NORM.S.INV(I99)</f>
        <v>1.1669186011353176</v>
      </c>
      <c r="K99" s="15">
        <v>3.1</v>
      </c>
      <c r="L99" s="14" t="s">
        <v>21</v>
      </c>
      <c r="M99" s="5">
        <f>(ROW(O99)-ROW($O$2)+0.5)/COUNT($O$2:$O$112)</f>
        <v>0.8783783783783784</v>
      </c>
      <c r="N99" s="5">
        <f>_xlfn.NORM.S.INV(M99)</f>
        <v>1.1669186011353176</v>
      </c>
      <c r="O99" s="16">
        <v>50</v>
      </c>
      <c r="P99" s="7">
        <f>(ROW(R99)-ROW($R$2)+0.5)/COUNT($R$2:$R$112)</f>
        <v>0.8783783783783784</v>
      </c>
      <c r="Q99" s="7">
        <f>_xlfn.NORM.S.INV(P99)</f>
        <v>1.1669186011353176</v>
      </c>
      <c r="R99" s="14">
        <v>3</v>
      </c>
      <c r="S99" s="5">
        <f>(ROW(U99)-ROW($U$2)+0.5)/COUNT($U$2:$U$112)</f>
        <v>0.8783783783783784</v>
      </c>
      <c r="T99" s="5">
        <f>_xlfn.NORM.S.INV(S99)</f>
        <v>1.1669186011353176</v>
      </c>
      <c r="U99" s="14">
        <v>7</v>
      </c>
      <c r="V99" s="5">
        <f>(ROW(X99)-ROW($X$2)+0.5)/COUNT($T$2:$T$112)</f>
        <v>0.8783783783783784</v>
      </c>
      <c r="W99" s="5">
        <f>_xlfn.NORM.S.INV(V99)</f>
        <v>1.1669186011353176</v>
      </c>
      <c r="X99" s="14">
        <v>900</v>
      </c>
      <c r="Y99" s="14" t="s">
        <v>22</v>
      </c>
      <c r="Z99" s="5">
        <f>(ROW(AB99)-ROW($AB$2)+0.5)/COUNT($AB$2:$AB$112)</f>
        <v>0.8783783783783784</v>
      </c>
      <c r="AA99" s="5">
        <f>_xlfn.NORM.S.INV(Z99)</f>
        <v>1.1669186011353176</v>
      </c>
      <c r="AB99" s="14">
        <v>100</v>
      </c>
      <c r="AC99" s="5">
        <f t="shared" si="2"/>
        <v>0.8783783783783784</v>
      </c>
      <c r="AD99" s="5">
        <f t="shared" si="3"/>
        <v>1.1669186011353176</v>
      </c>
      <c r="AE99" s="16">
        <v>20</v>
      </c>
      <c r="AF99" s="5"/>
    </row>
    <row r="100" spans="1:32" x14ac:dyDescent="0.3">
      <c r="A100" s="5">
        <v>108</v>
      </c>
      <c r="B100" s="5" t="s">
        <v>12</v>
      </c>
      <c r="C100" s="5">
        <f>(ROW(E100)-1)/(COUNT($E$2:$E$112)+1)</f>
        <v>0.8839285714285714</v>
      </c>
      <c r="D100" s="5">
        <f>_xlfn.NORM.S.INV(C100)</f>
        <v>1.1948571240757904</v>
      </c>
      <c r="E100" s="5">
        <v>27</v>
      </c>
      <c r="F100" s="5" t="s">
        <v>23</v>
      </c>
      <c r="G100" s="5" t="s">
        <v>26</v>
      </c>
      <c r="H100" s="5" t="s">
        <v>26</v>
      </c>
      <c r="I100" s="5">
        <f>(ROW(K100)-ROW($K$2)+0.5)/COUNT($K$2:$K$112)</f>
        <v>0.88738738738738743</v>
      </c>
      <c r="J100" s="5">
        <f>_xlfn.NORM.S.INV(I100)</f>
        <v>1.2127505015980078</v>
      </c>
      <c r="K100" s="6">
        <v>3.3</v>
      </c>
      <c r="L100" s="5" t="s">
        <v>27</v>
      </c>
      <c r="M100" s="5">
        <f>(ROW(O100)-ROW($O$2)+0.5)/COUNT($O$2:$O$112)</f>
        <v>0.88738738738738743</v>
      </c>
      <c r="N100" s="5">
        <f>_xlfn.NORM.S.INV(M100)</f>
        <v>1.2127505015980078</v>
      </c>
      <c r="O100" s="7">
        <v>50</v>
      </c>
      <c r="P100" s="7">
        <f>(ROW(R100)-ROW($R$2)+0.5)/COUNT($R$2:$R$112)</f>
        <v>0.88738738738738743</v>
      </c>
      <c r="Q100" s="7">
        <f>_xlfn.NORM.S.INV(P100)</f>
        <v>1.2127505015980078</v>
      </c>
      <c r="R100" s="5">
        <v>7</v>
      </c>
      <c r="S100" s="5">
        <f>(ROW(U100)-ROW($U$2)+0.5)/COUNT($U$2:$U$112)</f>
        <v>0.88738738738738743</v>
      </c>
      <c r="T100" s="5">
        <f>_xlfn.NORM.S.INV(S100)</f>
        <v>1.2127505015980078</v>
      </c>
      <c r="U100" s="5">
        <v>3</v>
      </c>
      <c r="V100" s="5">
        <f>(ROW(X100)-ROW($X$2)+0.5)/COUNT($T$2:$T$112)</f>
        <v>0.88738738738738743</v>
      </c>
      <c r="W100" s="5">
        <f>_xlfn.NORM.S.INV(V100)</f>
        <v>1.2127505015980078</v>
      </c>
      <c r="X100" s="5">
        <v>800</v>
      </c>
      <c r="Y100" s="5" t="s">
        <v>25</v>
      </c>
      <c r="Z100" s="5">
        <f>(ROW(AB100)-ROW($AB$2)+0.5)/COUNT($AB$2:$AB$112)</f>
        <v>0.88738738738738743</v>
      </c>
      <c r="AA100" s="5">
        <f>_xlfn.NORM.S.INV(Z100)</f>
        <v>1.2127505015980078</v>
      </c>
      <c r="AB100" s="5">
        <v>750</v>
      </c>
      <c r="AC100" s="5">
        <f t="shared" si="2"/>
        <v>0.88738738738738743</v>
      </c>
      <c r="AD100" s="5">
        <f t="shared" si="3"/>
        <v>1.2127505015980078</v>
      </c>
      <c r="AE100" s="7">
        <v>20</v>
      </c>
      <c r="AF100" s="5"/>
    </row>
    <row r="101" spans="1:32" x14ac:dyDescent="0.3">
      <c r="A101" s="5">
        <v>11</v>
      </c>
      <c r="B101" s="5" t="s">
        <v>12</v>
      </c>
      <c r="C101" s="5">
        <f>(ROW(E101)-1)/(COUNT($E$2:$E$112)+1)</f>
        <v>0.8928571428571429</v>
      </c>
      <c r="D101" s="5">
        <f>_xlfn.NORM.S.INV(C101)</f>
        <v>1.2418667918433208</v>
      </c>
      <c r="E101" s="5">
        <v>19</v>
      </c>
      <c r="F101" s="5" t="s">
        <v>19</v>
      </c>
      <c r="G101" s="5" t="s">
        <v>28</v>
      </c>
      <c r="H101" s="5" t="s">
        <v>15</v>
      </c>
      <c r="I101" s="5">
        <f>(ROW(K101)-ROW($K$2)+0.5)/COUNT($K$2:$K$112)</f>
        <v>0.89639639639639634</v>
      </c>
      <c r="J101" s="5">
        <f>_xlfn.NORM.S.INV(I101)</f>
        <v>1.2612821577584183</v>
      </c>
      <c r="K101" s="6">
        <v>2.8</v>
      </c>
      <c r="L101" s="5" t="s">
        <v>16</v>
      </c>
      <c r="M101" s="5">
        <f>(ROW(O101)-ROW($O$2)+0.5)/COUNT($O$2:$O$112)</f>
        <v>0.89639639639639634</v>
      </c>
      <c r="N101" s="5">
        <f>_xlfn.NORM.S.INV(M101)</f>
        <v>1.2612821577584183</v>
      </c>
      <c r="O101" s="7">
        <v>55</v>
      </c>
      <c r="P101" s="7">
        <f>(ROW(R101)-ROW($R$2)+0.5)/COUNT($R$2:$R$112)</f>
        <v>0.89639639639639634</v>
      </c>
      <c r="Q101" s="7">
        <f>_xlfn.NORM.S.INV(P101)</f>
        <v>1.2612821577584183</v>
      </c>
      <c r="R101" s="5">
        <v>5</v>
      </c>
      <c r="S101" s="5">
        <f>(ROW(U101)-ROW($U$2)+0.5)/COUNT($U$2:$U$112)</f>
        <v>0.89639639639639634</v>
      </c>
      <c r="T101" s="5">
        <f>_xlfn.NORM.S.INV(S101)</f>
        <v>1.2612821577584183</v>
      </c>
      <c r="U101" s="5">
        <v>5</v>
      </c>
      <c r="V101" s="5">
        <f>(ROW(X101)-ROW($X$2)+0.5)/COUNT($T$2:$T$112)</f>
        <v>0.89639639639639634</v>
      </c>
      <c r="W101" s="5">
        <f>_xlfn.NORM.S.INV(V101)</f>
        <v>1.2612821577584183</v>
      </c>
      <c r="X101" s="5">
        <v>900</v>
      </c>
      <c r="Y101" s="5" t="s">
        <v>17</v>
      </c>
      <c r="Z101" s="5">
        <f>(ROW(AB101)-ROW($AB$2)+0.5)/COUNT($AB$2:$AB$112)</f>
        <v>0.89639639639639634</v>
      </c>
      <c r="AA101" s="5">
        <f>_xlfn.NORM.S.INV(Z101)</f>
        <v>1.2612821577584183</v>
      </c>
      <c r="AB101" s="5">
        <v>200</v>
      </c>
      <c r="AC101" s="5">
        <f t="shared" si="2"/>
        <v>0.89639639639639634</v>
      </c>
      <c r="AD101" s="5">
        <f t="shared" si="3"/>
        <v>1.2612821577584183</v>
      </c>
      <c r="AE101" s="7">
        <v>30</v>
      </c>
      <c r="AF101" s="5"/>
    </row>
    <row r="102" spans="1:32" x14ac:dyDescent="0.3">
      <c r="A102" s="5">
        <v>95</v>
      </c>
      <c r="B102" s="5" t="s">
        <v>12</v>
      </c>
      <c r="C102" s="5">
        <f>(ROW(E102)-1)/(COUNT($E$2:$E$112)+1)</f>
        <v>0.9017857142857143</v>
      </c>
      <c r="D102" s="5">
        <f>_xlfn.NORM.S.INV(C102)</f>
        <v>1.2917937758243685</v>
      </c>
      <c r="E102" s="5">
        <v>24</v>
      </c>
      <c r="F102" s="5" t="s">
        <v>13</v>
      </c>
      <c r="G102" s="5" t="s">
        <v>32</v>
      </c>
      <c r="H102" s="5" t="s">
        <v>30</v>
      </c>
      <c r="I102" s="5">
        <f>(ROW(K102)-ROW($K$2)+0.5)/COUNT($K$2:$K$112)</f>
        <v>0.90540540540540537</v>
      </c>
      <c r="J102" s="5">
        <f>_xlfn.NORM.S.INV(I102)</f>
        <v>1.3129814789733745</v>
      </c>
      <c r="K102" s="6">
        <v>2.1</v>
      </c>
      <c r="L102" s="5" t="s">
        <v>27</v>
      </c>
      <c r="M102" s="5">
        <f>(ROW(O102)-ROW($O$2)+0.5)/COUNT($O$2:$O$112)</f>
        <v>0.90540540540540537</v>
      </c>
      <c r="N102" s="5">
        <f>_xlfn.NORM.S.INV(M102)</f>
        <v>1.3129814789733745</v>
      </c>
      <c r="O102" s="7">
        <v>60</v>
      </c>
      <c r="P102" s="7">
        <f>(ROW(R102)-ROW($R$2)+0.5)/COUNT($R$2:$R$112)</f>
        <v>0.90540540540540537</v>
      </c>
      <c r="Q102" s="7">
        <f>_xlfn.NORM.S.INV(P102)</f>
        <v>1.3129814789733745</v>
      </c>
      <c r="R102" s="5">
        <v>9</v>
      </c>
      <c r="S102" s="5">
        <f>(ROW(U102)-ROW($U$2)+0.5)/COUNT($U$2:$U$112)</f>
        <v>0.90540540540540537</v>
      </c>
      <c r="T102" s="5">
        <f>_xlfn.NORM.S.INV(S102)</f>
        <v>1.3129814789733745</v>
      </c>
      <c r="U102" s="5">
        <v>4</v>
      </c>
      <c r="V102" s="5">
        <f>(ROW(X102)-ROW($X$2)+0.5)/COUNT($T$2:$T$112)</f>
        <v>0.90540540540540537</v>
      </c>
      <c r="W102" s="5">
        <f>_xlfn.NORM.S.INV(V102)</f>
        <v>1.3129814789733745</v>
      </c>
      <c r="X102" s="5">
        <v>730</v>
      </c>
      <c r="Y102" s="5" t="s">
        <v>17</v>
      </c>
      <c r="Z102" s="5">
        <f>(ROW(AB102)-ROW($AB$2)+0.5)/COUNT($AB$2:$AB$112)</f>
        <v>0.90540540540540537</v>
      </c>
      <c r="AA102" s="5">
        <f>_xlfn.NORM.S.INV(Z102)</f>
        <v>1.3129814789733745</v>
      </c>
      <c r="AB102" s="5">
        <v>50</v>
      </c>
      <c r="AC102" s="5">
        <f t="shared" si="2"/>
        <v>0.90540540540540537</v>
      </c>
      <c r="AD102" s="5">
        <f t="shared" si="3"/>
        <v>1.3129814789733745</v>
      </c>
      <c r="AE102" s="7">
        <v>50</v>
      </c>
      <c r="AF102" s="5"/>
    </row>
    <row r="103" spans="1:32" x14ac:dyDescent="0.3">
      <c r="A103" s="5">
        <v>78</v>
      </c>
      <c r="B103" s="5" t="s">
        <v>18</v>
      </c>
      <c r="C103" s="5">
        <f>(ROW(E103)-1)/(COUNT($E$2:$E$112)+1)</f>
        <v>0.9107142857142857</v>
      </c>
      <c r="D103" s="5">
        <f>_xlfn.NORM.S.INV(C103)</f>
        <v>1.3451666341766386</v>
      </c>
      <c r="E103" s="5">
        <v>23</v>
      </c>
      <c r="F103" s="5" t="s">
        <v>19</v>
      </c>
      <c r="G103" s="5" t="s">
        <v>28</v>
      </c>
      <c r="H103" s="5" t="s">
        <v>26</v>
      </c>
      <c r="I103" s="5">
        <f>(ROW(K103)-ROW($K$2)+0.5)/COUNT($K$2:$K$112)</f>
        <v>0.9144144144144144</v>
      </c>
      <c r="J103" s="5">
        <f>_xlfn.NORM.S.INV(I103)</f>
        <v>1.3684502922532074</v>
      </c>
      <c r="K103" s="6">
        <v>3.4</v>
      </c>
      <c r="L103" s="5" t="s">
        <v>21</v>
      </c>
      <c r="M103" s="5">
        <f>(ROW(O103)-ROW($O$2)+0.5)/COUNT($O$2:$O$112)</f>
        <v>0.9144144144144144</v>
      </c>
      <c r="N103" s="5">
        <f>_xlfn.NORM.S.INV(M103)</f>
        <v>1.3684502922532074</v>
      </c>
      <c r="O103" s="7">
        <v>60</v>
      </c>
      <c r="P103" s="7">
        <f>(ROW(R103)-ROW($R$2)+0.5)/COUNT($R$2:$R$112)</f>
        <v>0.9144144144144144</v>
      </c>
      <c r="Q103" s="7">
        <f>_xlfn.NORM.S.INV(P103)</f>
        <v>1.3684502922532074</v>
      </c>
      <c r="R103" s="5">
        <v>3</v>
      </c>
      <c r="S103" s="5">
        <f>(ROW(U103)-ROW($U$2)+0.5)/COUNT($U$2:$U$112)</f>
        <v>0.9144144144144144</v>
      </c>
      <c r="T103" s="5">
        <f>_xlfn.NORM.S.INV(S103)</f>
        <v>1.3684502922532074</v>
      </c>
      <c r="U103" s="5">
        <v>5</v>
      </c>
      <c r="V103" s="5">
        <f>(ROW(X103)-ROW($X$2)+0.5)/COUNT($T$2:$T$112)</f>
        <v>0.9144144144144144</v>
      </c>
      <c r="W103" s="5">
        <f>_xlfn.NORM.S.INV(V103)</f>
        <v>1.3684502922532074</v>
      </c>
      <c r="X103" s="5">
        <v>1175</v>
      </c>
      <c r="Y103" s="5" t="s">
        <v>17</v>
      </c>
      <c r="Z103" s="5">
        <f>(ROW(AB103)-ROW($AB$2)+0.5)/COUNT($AB$2:$AB$112)</f>
        <v>0.9144144144144144</v>
      </c>
      <c r="AA103" s="5">
        <f>_xlfn.NORM.S.INV(Z103)</f>
        <v>1.3684502922532074</v>
      </c>
      <c r="AB103" s="5">
        <v>60</v>
      </c>
      <c r="AC103" s="5">
        <f t="shared" si="2"/>
        <v>0.9144144144144144</v>
      </c>
      <c r="AD103" s="5">
        <f t="shared" si="3"/>
        <v>1.3684502922532074</v>
      </c>
      <c r="AE103" s="7">
        <v>50</v>
      </c>
      <c r="AF103" s="5"/>
    </row>
    <row r="104" spans="1:32" x14ac:dyDescent="0.3">
      <c r="A104" s="5">
        <v>107</v>
      </c>
      <c r="B104" s="5" t="s">
        <v>18</v>
      </c>
      <c r="C104" s="5">
        <f>(ROW(E104)-1)/(COUNT($E$2:$E$112)+1)</f>
        <v>0.9196428571428571</v>
      </c>
      <c r="D104" s="5">
        <f>_xlfn.NORM.S.INV(C104)</f>
        <v>1.402673289992322</v>
      </c>
      <c r="E104" s="5">
        <v>27</v>
      </c>
      <c r="F104" s="5" t="s">
        <v>19</v>
      </c>
      <c r="G104" s="5" t="s">
        <v>28</v>
      </c>
      <c r="H104" s="5" t="s">
        <v>30</v>
      </c>
      <c r="I104" s="5">
        <f>(ROW(K104)-ROW($K$2)+0.5)/COUNT($K$2:$K$112)</f>
        <v>0.92342342342342343</v>
      </c>
      <c r="J104" s="5">
        <f>_xlfn.NORM.S.INV(I104)</f>
        <v>1.4284820653066665</v>
      </c>
      <c r="K104" s="6">
        <v>2.9</v>
      </c>
      <c r="L104" s="5" t="s">
        <v>16</v>
      </c>
      <c r="M104" s="5">
        <f>(ROW(O104)-ROW($O$2)+0.5)/COUNT($O$2:$O$112)</f>
        <v>0.92342342342342343</v>
      </c>
      <c r="N104" s="5">
        <f>_xlfn.NORM.S.INV(M104)</f>
        <v>1.4284820653066665</v>
      </c>
      <c r="O104" s="7">
        <v>55</v>
      </c>
      <c r="P104" s="7">
        <f>(ROW(R104)-ROW($R$2)+0.5)/COUNT($R$2:$R$112)</f>
        <v>0.92342342342342343</v>
      </c>
      <c r="Q104" s="7">
        <f>_xlfn.NORM.S.INV(P104)</f>
        <v>1.4284820653066665</v>
      </c>
      <c r="R104" s="5">
        <v>4</v>
      </c>
      <c r="S104" s="5">
        <f>(ROW(U104)-ROW($U$2)+0.5)/COUNT($U$2:$U$112)</f>
        <v>0.92342342342342343</v>
      </c>
      <c r="T104" s="5">
        <f>_xlfn.NORM.S.INV(S104)</f>
        <v>1.4284820653066665</v>
      </c>
      <c r="U104" s="5">
        <v>4</v>
      </c>
      <c r="V104" s="5">
        <f>(ROW(X104)-ROW($X$2)+0.5)/COUNT($T$2:$T$112)</f>
        <v>0.92342342342342343</v>
      </c>
      <c r="W104" s="5">
        <f>_xlfn.NORM.S.INV(V104)</f>
        <v>1.4284820653066665</v>
      </c>
      <c r="X104" s="5">
        <v>850</v>
      </c>
      <c r="Y104" s="5" t="s">
        <v>17</v>
      </c>
      <c r="Z104" s="5">
        <f>(ROW(AB104)-ROW($AB$2)+0.5)/COUNT($AB$2:$AB$112)</f>
        <v>0.92342342342342343</v>
      </c>
      <c r="AA104" s="5">
        <f>_xlfn.NORM.S.INV(Z104)</f>
        <v>1.4284820653066665</v>
      </c>
      <c r="AB104" s="5">
        <v>100</v>
      </c>
      <c r="AC104" s="5">
        <f t="shared" si="2"/>
        <v>0.92342342342342343</v>
      </c>
      <c r="AD104" s="5">
        <f t="shared" si="3"/>
        <v>1.4284820653066665</v>
      </c>
      <c r="AE104" s="7">
        <v>50</v>
      </c>
      <c r="AF104" s="5"/>
    </row>
    <row r="105" spans="1:32" x14ac:dyDescent="0.3">
      <c r="A105" s="5">
        <v>109</v>
      </c>
      <c r="B105" s="5" t="s">
        <v>12</v>
      </c>
      <c r="C105" s="5">
        <f>(ROW(E105)-1)/(COUNT($E$2:$E$112)+1)</f>
        <v>0.9285714285714286</v>
      </c>
      <c r="D105" s="5">
        <f>_xlfn.NORM.S.INV(C105)</f>
        <v>1.4652337926855228</v>
      </c>
      <c r="E105" s="5">
        <v>28</v>
      </c>
      <c r="F105" s="5" t="s">
        <v>13</v>
      </c>
      <c r="G105" s="5" t="s">
        <v>26</v>
      </c>
      <c r="H105" s="5" t="s">
        <v>26</v>
      </c>
      <c r="I105" s="5">
        <f>(ROW(K105)-ROW($K$2)+0.5)/COUNT($K$2:$K$112)</f>
        <v>0.93243243243243246</v>
      </c>
      <c r="J105" s="5">
        <f>_xlfn.NORM.S.INV(I105)</f>
        <v>1.4941549086209054</v>
      </c>
      <c r="K105" s="6">
        <v>2.6</v>
      </c>
      <c r="L105" s="5" t="s">
        <v>21</v>
      </c>
      <c r="M105" s="5">
        <f>(ROW(O105)-ROW($O$2)+0.5)/COUNT($O$2:$O$112)</f>
        <v>0.93243243243243246</v>
      </c>
      <c r="N105" s="5">
        <f>_xlfn.NORM.S.INV(M105)</f>
        <v>1.4941549086209054</v>
      </c>
      <c r="O105" s="7">
        <v>45</v>
      </c>
      <c r="P105" s="7">
        <f>(ROW(R105)-ROW($R$2)+0.5)/COUNT($R$2:$R$112)</f>
        <v>0.93243243243243246</v>
      </c>
      <c r="Q105" s="7">
        <f>_xlfn.NORM.S.INV(P105)</f>
        <v>1.4941549086209054</v>
      </c>
      <c r="R105" s="5">
        <v>5</v>
      </c>
      <c r="S105" s="5">
        <f>(ROW(U105)-ROW($U$2)+0.5)/COUNT($U$2:$U$112)</f>
        <v>0.93243243243243246</v>
      </c>
      <c r="T105" s="5">
        <f>_xlfn.NORM.S.INV(S105)</f>
        <v>1.4941549086209054</v>
      </c>
      <c r="U105" s="5">
        <v>4</v>
      </c>
      <c r="V105" s="5">
        <f>(ROW(X105)-ROW($X$2)+0.5)/COUNT($T$2:$T$112)</f>
        <v>0.93243243243243246</v>
      </c>
      <c r="W105" s="5">
        <f>_xlfn.NORM.S.INV(V105)</f>
        <v>1.4941549086209054</v>
      </c>
      <c r="X105" s="5">
        <v>800</v>
      </c>
      <c r="Y105" s="5" t="s">
        <v>17</v>
      </c>
      <c r="Z105" s="5">
        <f>(ROW(AB105)-ROW($AB$2)+0.5)/COUNT($AB$2:$AB$112)</f>
        <v>0.93243243243243246</v>
      </c>
      <c r="AA105" s="5">
        <f>_xlfn.NORM.S.INV(Z105)</f>
        <v>1.4941549086209054</v>
      </c>
      <c r="AB105" s="5">
        <v>500</v>
      </c>
      <c r="AC105" s="5">
        <f t="shared" si="2"/>
        <v>0.93243243243243246</v>
      </c>
      <c r="AD105" s="5">
        <f t="shared" si="3"/>
        <v>1.4941549086209054</v>
      </c>
      <c r="AE105" s="7">
        <v>50</v>
      </c>
      <c r="AF105" s="5"/>
    </row>
    <row r="106" spans="1:32" x14ac:dyDescent="0.3">
      <c r="A106" s="5">
        <v>3</v>
      </c>
      <c r="B106" s="5" t="s">
        <v>18</v>
      </c>
      <c r="C106" s="5">
        <f>(ROW(E106)-1)/(COUNT($E$2:$E$112)+1)</f>
        <v>0.9375</v>
      </c>
      <c r="D106" s="5">
        <f>_xlfn.NORM.S.INV(C106)</f>
        <v>1.5341205443525465</v>
      </c>
      <c r="E106" s="5">
        <v>18</v>
      </c>
      <c r="F106" s="5" t="s">
        <v>23</v>
      </c>
      <c r="G106" s="5" t="s">
        <v>14</v>
      </c>
      <c r="H106" s="5" t="s">
        <v>15</v>
      </c>
      <c r="I106" s="5">
        <f>(ROW(K106)-ROW($K$2)+0.5)/COUNT($K$2:$K$112)</f>
        <v>0.94144144144144148</v>
      </c>
      <c r="J106" s="5">
        <f>_xlfn.NORM.S.INV(I106)</f>
        <v>1.5669896232638034</v>
      </c>
      <c r="K106" s="6">
        <v>2.5</v>
      </c>
      <c r="L106" s="5" t="s">
        <v>21</v>
      </c>
      <c r="M106" s="5">
        <f>(ROW(O106)-ROW($O$2)+0.5)/COUNT($O$2:$O$112)</f>
        <v>0.94144144144144148</v>
      </c>
      <c r="N106" s="5">
        <f>_xlfn.NORM.S.INV(M106)</f>
        <v>1.5669896232638034</v>
      </c>
      <c r="O106" s="7">
        <v>50</v>
      </c>
      <c r="P106" s="7">
        <f>(ROW(R106)-ROW($R$2)+0.5)/COUNT($R$2:$R$112)</f>
        <v>0.94144144144144148</v>
      </c>
      <c r="Q106" s="7">
        <f>_xlfn.NORM.S.INV(P106)</f>
        <v>1.5669896232638034</v>
      </c>
      <c r="R106" s="5">
        <v>2</v>
      </c>
      <c r="S106" s="5">
        <f>(ROW(U106)-ROW($U$2)+0.5)/COUNT($U$2:$U$112)</f>
        <v>0.94144144144144148</v>
      </c>
      <c r="T106" s="5">
        <f>_xlfn.NORM.S.INV(S106)</f>
        <v>1.5669896232638034</v>
      </c>
      <c r="U106" s="5">
        <v>4</v>
      </c>
      <c r="V106" s="5">
        <f>(ROW(X106)-ROW($X$2)+0.5)/COUNT($T$2:$T$112)</f>
        <v>0.94144144144144148</v>
      </c>
      <c r="W106" s="5">
        <f>_xlfn.NORM.S.INV(V106)</f>
        <v>1.5669896232638034</v>
      </c>
      <c r="X106" s="5">
        <v>1100</v>
      </c>
      <c r="Y106" s="5" t="s">
        <v>17</v>
      </c>
      <c r="Z106" s="5">
        <f>(ROW(AB106)-ROW($AB$2)+0.5)/COUNT($AB$2:$AB$112)</f>
        <v>0.94144144144144148</v>
      </c>
      <c r="AA106" s="5">
        <f>_xlfn.NORM.S.INV(Z106)</f>
        <v>1.5669896232638034</v>
      </c>
      <c r="AB106" s="5">
        <v>200</v>
      </c>
      <c r="AC106" s="5">
        <f t="shared" si="2"/>
        <v>0.94144144144144148</v>
      </c>
      <c r="AD106" s="5">
        <f t="shared" si="3"/>
        <v>1.5669896232638034</v>
      </c>
      <c r="AE106" s="7">
        <v>70</v>
      </c>
      <c r="AF106" s="5"/>
    </row>
    <row r="107" spans="1:32" x14ac:dyDescent="0.3">
      <c r="A107" s="14">
        <v>111</v>
      </c>
      <c r="B107" s="14" t="s">
        <v>12</v>
      </c>
      <c r="C107" s="5">
        <f>(ROW(E107)-1)/(COUNT($E$2:$E$112)+1)</f>
        <v>0.9464285714285714</v>
      </c>
      <c r="D107" s="5">
        <f>_xlfn.NORM.S.INV(C107)</f>
        <v>1.6111691623526765</v>
      </c>
      <c r="E107" s="14">
        <v>30</v>
      </c>
      <c r="F107" s="14" t="s">
        <v>13</v>
      </c>
      <c r="G107" s="14" t="s">
        <v>32</v>
      </c>
      <c r="H107" s="14" t="s">
        <v>30</v>
      </c>
      <c r="I107" s="5">
        <f>(ROW(K107)-ROW($K$2)+0.5)/COUNT($K$2:$K$112)</f>
        <v>0.9504504504504504</v>
      </c>
      <c r="J107" s="5">
        <f>_xlfn.NORM.S.INV(I107)</f>
        <v>1.6492369585066653</v>
      </c>
      <c r="K107" s="15">
        <v>3.4</v>
      </c>
      <c r="L107" s="14" t="s">
        <v>21</v>
      </c>
      <c r="M107" s="5">
        <f>(ROW(O107)-ROW($O$2)+0.5)/COUNT($O$2:$O$112)</f>
        <v>0.9504504504504504</v>
      </c>
      <c r="N107" s="5">
        <f>_xlfn.NORM.S.INV(M107)</f>
        <v>1.6492369585066653</v>
      </c>
      <c r="O107" s="16">
        <v>65</v>
      </c>
      <c r="P107" s="7">
        <f>(ROW(R107)-ROW($R$2)+0.5)/COUNT($R$2:$R$112)</f>
        <v>0.9504504504504504</v>
      </c>
      <c r="Q107" s="7">
        <f>_xlfn.NORM.S.INV(P107)</f>
        <v>1.6492369585066653</v>
      </c>
      <c r="R107" s="14">
        <v>5</v>
      </c>
      <c r="S107" s="5">
        <f>(ROW(U107)-ROW($U$2)+0.5)/COUNT($U$2:$U$112)</f>
        <v>0.9504504504504504</v>
      </c>
      <c r="T107" s="5">
        <f>_xlfn.NORM.S.INV(S107)</f>
        <v>1.6492369585066653</v>
      </c>
      <c r="U107" s="14">
        <v>5</v>
      </c>
      <c r="V107" s="5">
        <f>(ROW(X107)-ROW($X$2)+0.5)/COUNT($T$2:$T$112)</f>
        <v>0.9504504504504504</v>
      </c>
      <c r="W107" s="5">
        <f>_xlfn.NORM.S.INV(V107)</f>
        <v>1.6492369585066653</v>
      </c>
      <c r="X107" s="14">
        <v>950</v>
      </c>
      <c r="Y107" s="14" t="s">
        <v>25</v>
      </c>
      <c r="Z107" s="5">
        <f>(ROW(AB107)-ROW($AB$2)+0.5)/COUNT($AB$2:$AB$112)</f>
        <v>0.9504504504504504</v>
      </c>
      <c r="AA107" s="5">
        <f>_xlfn.NORM.S.INV(Z107)</f>
        <v>1.6492369585066653</v>
      </c>
      <c r="AB107" s="14">
        <v>200</v>
      </c>
      <c r="AC107" s="5">
        <f t="shared" si="2"/>
        <v>0.9504504504504504</v>
      </c>
      <c r="AD107" s="5">
        <f t="shared" si="3"/>
        <v>1.6492369585066653</v>
      </c>
      <c r="AE107" s="16">
        <v>75</v>
      </c>
      <c r="AF107" s="5"/>
    </row>
    <row r="108" spans="1:32" x14ac:dyDescent="0.3">
      <c r="A108" s="5">
        <v>87</v>
      </c>
      <c r="B108" s="5" t="s">
        <v>18</v>
      </c>
      <c r="C108" s="5">
        <f>(ROW(E108)-1)/(COUNT($E$2:$E$112)+1)</f>
        <v>0.9553571428571429</v>
      </c>
      <c r="D108" s="5">
        <f>_xlfn.NORM.S.INV(C108)</f>
        <v>1.6991776601112989</v>
      </c>
      <c r="E108" s="5">
        <v>24</v>
      </c>
      <c r="F108" s="5" t="s">
        <v>19</v>
      </c>
      <c r="G108" s="5" t="s">
        <v>32</v>
      </c>
      <c r="H108" s="5" t="s">
        <v>15</v>
      </c>
      <c r="I108" s="5">
        <f>(ROW(K108)-ROW($K$2)+0.5)/COUNT($K$2:$K$112)</f>
        <v>0.95945945945945943</v>
      </c>
      <c r="J108" s="5">
        <f>_xlfn.NORM.S.INV(I108)</f>
        <v>1.7444475421409682</v>
      </c>
      <c r="K108" s="6">
        <v>3.4</v>
      </c>
      <c r="L108" s="5" t="s">
        <v>21</v>
      </c>
      <c r="M108" s="5">
        <f>(ROW(O108)-ROW($O$2)+0.5)/COUNT($O$2:$O$112)</f>
        <v>0.95945945945945943</v>
      </c>
      <c r="N108" s="5">
        <f>_xlfn.NORM.S.INV(M108)</f>
        <v>1.7444475421409682</v>
      </c>
      <c r="O108" s="7">
        <v>55</v>
      </c>
      <c r="P108" s="7">
        <f>(ROW(R108)-ROW($R$2)+0.5)/COUNT($R$2:$R$112)</f>
        <v>0.95945945945945943</v>
      </c>
      <c r="Q108" s="7">
        <f>_xlfn.NORM.S.INV(P108)</f>
        <v>1.7444475421409682</v>
      </c>
      <c r="R108" s="5">
        <v>2</v>
      </c>
      <c r="S108" s="5">
        <f>(ROW(U108)-ROW($U$2)+0.5)/COUNT($U$2:$U$112)</f>
        <v>0.95945945945945943</v>
      </c>
      <c r="T108" s="5">
        <f>_xlfn.NORM.S.INV(S108)</f>
        <v>1.7444475421409682</v>
      </c>
      <c r="U108" s="5">
        <v>4</v>
      </c>
      <c r="V108" s="5">
        <f>(ROW(X108)-ROW($X$2)+0.5)/COUNT($T$2:$T$112)</f>
        <v>0.95945945945945943</v>
      </c>
      <c r="W108" s="5">
        <f>_xlfn.NORM.S.INV(V108)</f>
        <v>1.7444475421409682</v>
      </c>
      <c r="X108" s="5">
        <v>850</v>
      </c>
      <c r="Y108" s="5" t="s">
        <v>22</v>
      </c>
      <c r="Z108" s="5">
        <f>(ROW(AB108)-ROW($AB$2)+0.5)/COUNT($AB$2:$AB$112)</f>
        <v>0.95945945945945943</v>
      </c>
      <c r="AA108" s="5">
        <f>_xlfn.NORM.S.INV(Z108)</f>
        <v>1.7444475421409682</v>
      </c>
      <c r="AB108" s="5">
        <v>60</v>
      </c>
      <c r="AC108" s="5">
        <f t="shared" si="2"/>
        <v>0.95945945945945943</v>
      </c>
      <c r="AD108" s="5">
        <f t="shared" si="3"/>
        <v>1.7444475421409682</v>
      </c>
      <c r="AE108" s="7">
        <v>100</v>
      </c>
      <c r="AF108" s="5"/>
    </row>
    <row r="109" spans="1:32" x14ac:dyDescent="0.3">
      <c r="A109" s="5">
        <v>29</v>
      </c>
      <c r="B109" s="5" t="s">
        <v>18</v>
      </c>
      <c r="C109" s="5">
        <f>(ROW(E109)-1)/(COUNT($E$2:$E$112)+1)</f>
        <v>0.9642857142857143</v>
      </c>
      <c r="D109" s="5">
        <f>_xlfn.NORM.S.INV(C109)</f>
        <v>1.8027430907391906</v>
      </c>
      <c r="E109" s="5">
        <v>20</v>
      </c>
      <c r="F109" s="5" t="s">
        <v>19</v>
      </c>
      <c r="G109" s="5" t="s">
        <v>31</v>
      </c>
      <c r="H109" s="5" t="s">
        <v>15</v>
      </c>
      <c r="I109" s="5">
        <f>(ROW(K109)-ROW($K$2)+0.5)/COUNT($K$2:$K$112)</f>
        <v>0.96846846846846846</v>
      </c>
      <c r="J109" s="5">
        <f>_xlfn.NORM.S.INV(I109)</f>
        <v>1.8587466122710696</v>
      </c>
      <c r="K109" s="6">
        <v>3.33</v>
      </c>
      <c r="L109" s="5" t="s">
        <v>21</v>
      </c>
      <c r="M109" s="5">
        <f>(ROW(O109)-ROW($O$2)+0.5)/COUNT($O$2:$O$112)</f>
        <v>0.96846846846846846</v>
      </c>
      <c r="N109" s="5">
        <f>_xlfn.NORM.S.INV(M109)</f>
        <v>1.8587466122710696</v>
      </c>
      <c r="O109" s="7">
        <v>60</v>
      </c>
      <c r="P109" s="7">
        <f>(ROW(R109)-ROW($R$2)+0.5)/COUNT($R$2:$R$112)</f>
        <v>0.96846846846846846</v>
      </c>
      <c r="Q109" s="7">
        <f>_xlfn.NORM.S.INV(P109)</f>
        <v>1.8587466122710696</v>
      </c>
      <c r="R109" s="5">
        <v>9</v>
      </c>
      <c r="S109" s="5">
        <f>(ROW(U109)-ROW($U$2)+0.5)/COUNT($U$2:$U$112)</f>
        <v>0.96846846846846846</v>
      </c>
      <c r="T109" s="5">
        <f>_xlfn.NORM.S.INV(S109)</f>
        <v>1.8587466122710696</v>
      </c>
      <c r="U109" s="5">
        <v>6</v>
      </c>
      <c r="V109" s="5">
        <f>(ROW(X109)-ROW($X$2)+0.5)/COUNT($T$2:$T$112)</f>
        <v>0.96846846846846846</v>
      </c>
      <c r="W109" s="5">
        <f>_xlfn.NORM.S.INV(V109)</f>
        <v>1.8587466122710696</v>
      </c>
      <c r="X109" s="5">
        <v>1600</v>
      </c>
      <c r="Y109" s="5" t="s">
        <v>17</v>
      </c>
      <c r="Z109" s="5">
        <f>(ROW(AB109)-ROW($AB$2)+0.5)/COUNT($AB$2:$AB$112)</f>
        <v>0.96846846846846846</v>
      </c>
      <c r="AA109" s="5">
        <f>_xlfn.NORM.S.INV(Z109)</f>
        <v>1.8587466122710696</v>
      </c>
      <c r="AB109" s="5">
        <v>60</v>
      </c>
      <c r="AC109" s="5">
        <f t="shared" si="2"/>
        <v>0.96846846846846846</v>
      </c>
      <c r="AD109" s="5">
        <f t="shared" si="3"/>
        <v>1.8587466122710696</v>
      </c>
      <c r="AE109" s="7">
        <v>100</v>
      </c>
      <c r="AF109" s="5"/>
    </row>
    <row r="110" spans="1:32" x14ac:dyDescent="0.3">
      <c r="A110" s="5">
        <v>106</v>
      </c>
      <c r="B110" s="5" t="s">
        <v>12</v>
      </c>
      <c r="C110" s="5">
        <f>(ROW(E110)-1)/(COUNT($E$2:$E$112)+1)</f>
        <v>0.9732142857142857</v>
      </c>
      <c r="D110" s="5">
        <f>_xlfn.NORM.S.INV(C110)</f>
        <v>1.9302858560575813</v>
      </c>
      <c r="E110" s="5">
        <v>26</v>
      </c>
      <c r="F110" s="5" t="s">
        <v>23</v>
      </c>
      <c r="G110" s="5" t="s">
        <v>20</v>
      </c>
      <c r="H110" s="5" t="s">
        <v>30</v>
      </c>
      <c r="I110" s="5">
        <f>(ROW(K110)-ROW($K$2)+0.5)/COUNT($K$2:$K$112)</f>
        <v>0.97747747747747749</v>
      </c>
      <c r="J110" s="5">
        <f>_xlfn.NORM.S.INV(I110)</f>
        <v>2.0042335798798194</v>
      </c>
      <c r="K110" s="6">
        <v>2</v>
      </c>
      <c r="L110" s="5" t="s">
        <v>27</v>
      </c>
      <c r="M110" s="5">
        <f>(ROW(O110)-ROW($O$2)+0.5)/COUNT($O$2:$O$112)</f>
        <v>0.97747747747747749</v>
      </c>
      <c r="N110" s="5">
        <f>_xlfn.NORM.S.INV(M110)</f>
        <v>2.0042335798798194</v>
      </c>
      <c r="O110" s="7">
        <v>45</v>
      </c>
      <c r="P110" s="7">
        <f>(ROW(R110)-ROW($R$2)+0.5)/COUNT($R$2:$R$112)</f>
        <v>0.97747747747747749</v>
      </c>
      <c r="Q110" s="7">
        <f>_xlfn.NORM.S.INV(P110)</f>
        <v>2.0042335798798194</v>
      </c>
      <c r="R110" s="5">
        <v>5</v>
      </c>
      <c r="S110" s="5">
        <f>(ROW(U110)-ROW($U$2)+0.5)/COUNT($U$2:$U$112)</f>
        <v>0.97747747747747749</v>
      </c>
      <c r="T110" s="5">
        <f>_xlfn.NORM.S.INV(S110)</f>
        <v>2.0042335798798194</v>
      </c>
      <c r="U110" s="5">
        <v>4</v>
      </c>
      <c r="V110" s="5">
        <f>(ROW(X110)-ROW($X$2)+0.5)/COUNT($T$2:$T$112)</f>
        <v>0.97747747747747749</v>
      </c>
      <c r="W110" s="5">
        <f>_xlfn.NORM.S.INV(V110)</f>
        <v>2.0042335798798194</v>
      </c>
      <c r="X110" s="5">
        <v>750</v>
      </c>
      <c r="Y110" s="5" t="s">
        <v>17</v>
      </c>
      <c r="Z110" s="5">
        <f>(ROW(AB110)-ROW($AB$2)+0.5)/COUNT($AB$2:$AB$112)</f>
        <v>0.97747747747747749</v>
      </c>
      <c r="AA110" s="5">
        <f>_xlfn.NORM.S.INV(Z110)</f>
        <v>2.0042335798798194</v>
      </c>
      <c r="AB110" s="5">
        <v>100</v>
      </c>
      <c r="AC110" s="5">
        <f t="shared" si="2"/>
        <v>0.97747747747747749</v>
      </c>
      <c r="AD110" s="5">
        <f t="shared" si="3"/>
        <v>2.0042335798798194</v>
      </c>
      <c r="AE110" s="7">
        <v>100</v>
      </c>
      <c r="AF110" s="5"/>
    </row>
    <row r="111" spans="1:32" x14ac:dyDescent="0.3">
      <c r="A111" s="5">
        <v>4</v>
      </c>
      <c r="B111" s="5" t="s">
        <v>18</v>
      </c>
      <c r="C111" s="5">
        <f>(ROW(E111)-1)/(COUNT($E$2:$E$112)+1)</f>
        <v>0.9821428571428571</v>
      </c>
      <c r="D111" s="5">
        <f>_xlfn.NORM.S.INV(C111)</f>
        <v>2.100165492844468</v>
      </c>
      <c r="E111" s="5">
        <v>18</v>
      </c>
      <c r="F111" s="5" t="s">
        <v>13</v>
      </c>
      <c r="G111" s="5" t="s">
        <v>24</v>
      </c>
      <c r="H111" s="5" t="s">
        <v>15</v>
      </c>
      <c r="I111" s="5">
        <f>(ROW(K111)-ROW($K$2)+0.5)/COUNT($K$2:$K$112)</f>
        <v>0.98648648648648651</v>
      </c>
      <c r="J111" s="5">
        <f>_xlfn.NORM.S.INV(I111)</f>
        <v>2.2111272410853289</v>
      </c>
      <c r="K111" s="6">
        <v>2.5</v>
      </c>
      <c r="L111" s="5" t="s">
        <v>16</v>
      </c>
      <c r="M111" s="5">
        <f>(ROW(O111)-ROW($O$2)+0.5)/COUNT($O$2:$O$112)</f>
        <v>0.98648648648648651</v>
      </c>
      <c r="N111" s="5">
        <f>_xlfn.NORM.S.INV(M111)</f>
        <v>2.2111272410853289</v>
      </c>
      <c r="O111" s="7">
        <v>45</v>
      </c>
      <c r="P111" s="7">
        <f>(ROW(R111)-ROW($R$2)+0.5)/COUNT($R$2:$R$112)</f>
        <v>0.98648648648648651</v>
      </c>
      <c r="Q111" s="7">
        <f>_xlfn.NORM.S.INV(P111)</f>
        <v>2.2111272410853289</v>
      </c>
      <c r="R111" s="5">
        <v>4</v>
      </c>
      <c r="S111" s="5">
        <f>(ROW(U111)-ROW($U$2)+0.5)/COUNT($U$2:$U$112)</f>
        <v>0.98648648648648651</v>
      </c>
      <c r="T111" s="5">
        <f>_xlfn.NORM.S.INV(S111)</f>
        <v>2.2111272410853289</v>
      </c>
      <c r="U111" s="5">
        <v>6</v>
      </c>
      <c r="V111" s="5">
        <f>(ROW(X111)-ROW($X$2)+0.5)/COUNT($T$2:$T$112)</f>
        <v>0.98648648648648651</v>
      </c>
      <c r="W111" s="5">
        <f>_xlfn.NORM.S.INV(V111)</f>
        <v>2.2111272410853289</v>
      </c>
      <c r="X111" s="5">
        <v>1100</v>
      </c>
      <c r="Y111" s="5" t="s">
        <v>25</v>
      </c>
      <c r="Z111" s="5">
        <f>(ROW(AB111)-ROW($AB$2)+0.5)/COUNT($AB$2:$AB$112)</f>
        <v>0.98648648648648651</v>
      </c>
      <c r="AA111" s="5">
        <f>_xlfn.NORM.S.INV(Z111)</f>
        <v>2.2111272410853289</v>
      </c>
      <c r="AB111" s="5">
        <v>250</v>
      </c>
      <c r="AC111" s="5">
        <f t="shared" si="2"/>
        <v>0.98648648648648651</v>
      </c>
      <c r="AD111" s="5">
        <f t="shared" si="3"/>
        <v>2.2111272410853289</v>
      </c>
      <c r="AE111" s="7">
        <v>100</v>
      </c>
      <c r="AF111" s="5"/>
    </row>
    <row r="112" spans="1:32" x14ac:dyDescent="0.3">
      <c r="A112" s="8">
        <v>110</v>
      </c>
      <c r="B112" s="8" t="s">
        <v>18</v>
      </c>
      <c r="C112" s="5">
        <f>(ROW(E112)-1)/(COUNT($E$2:$E$112)+1)</f>
        <v>0.9910714285714286</v>
      </c>
      <c r="D112" s="5">
        <f>_xlfn.NORM.S.INV(C112)</f>
        <v>2.3685670592678738</v>
      </c>
      <c r="E112" s="8">
        <v>30</v>
      </c>
      <c r="F112" s="8" t="s">
        <v>23</v>
      </c>
      <c r="G112" s="8" t="s">
        <v>32</v>
      </c>
      <c r="H112" s="8" t="s">
        <v>26</v>
      </c>
      <c r="I112" s="5">
        <f>(ROW(K112)-ROW($K$2)+0.5)/COUNT($K$2:$K$112)</f>
        <v>0.99549549549549554</v>
      </c>
      <c r="J112" s="5">
        <f>_xlfn.NORM.S.INV(I112)</f>
        <v>2.6117120822772177</v>
      </c>
      <c r="K112" s="9">
        <v>3.6</v>
      </c>
      <c r="L112" s="8" t="s">
        <v>21</v>
      </c>
      <c r="M112" s="5">
        <f>(ROW(O112)-ROW($O$2)+0.5)/COUNT($O$2:$O$112)</f>
        <v>0.99549549549549554</v>
      </c>
      <c r="N112" s="5">
        <f>_xlfn.NORM.S.INV(M112)</f>
        <v>2.6117120822772177</v>
      </c>
      <c r="O112" s="10">
        <v>65</v>
      </c>
      <c r="P112" s="7">
        <f>(ROW(R112)-ROW($R$2)+0.5)/COUNT($R$2:$R$112)</f>
        <v>0.99549549549549554</v>
      </c>
      <c r="Q112" s="7">
        <f>_xlfn.NORM.S.INV(P112)</f>
        <v>2.6117120822772177</v>
      </c>
      <c r="R112" s="8">
        <v>8</v>
      </c>
      <c r="S112" s="5">
        <f>(ROW(U112)-ROW($U$2)+0.5)/COUNT($U$2:$U$112)</f>
        <v>0.99549549549549554</v>
      </c>
      <c r="T112" s="5">
        <f>_xlfn.NORM.S.INV(S112)</f>
        <v>2.6117120822772177</v>
      </c>
      <c r="U112" s="8">
        <v>5</v>
      </c>
      <c r="V112" s="5">
        <f>(ROW(X112)-ROW($X$2)+0.5)/COUNT($T$2:$T$112)</f>
        <v>0.99549549549549554</v>
      </c>
      <c r="W112" s="5">
        <f>_xlfn.NORM.S.INV(V112)</f>
        <v>2.6117120822772177</v>
      </c>
      <c r="X112" s="8">
        <v>900</v>
      </c>
      <c r="Y112" s="8" t="s">
        <v>17</v>
      </c>
      <c r="Z112" s="5">
        <f>(ROW(AB112)-ROW($AB$2)+0.5)/COUNT($AB$2:$AB$112)</f>
        <v>0.99549549549549554</v>
      </c>
      <c r="AA112" s="5">
        <f>_xlfn.NORM.S.INV(Z112)</f>
        <v>2.6117120822772177</v>
      </c>
      <c r="AB112" s="8">
        <v>750</v>
      </c>
      <c r="AC112" s="5">
        <f t="shared" si="2"/>
        <v>0.99549549549549554</v>
      </c>
      <c r="AD112" s="5">
        <f>_xlfn.NORM.S.INV(AC112)</f>
        <v>2.6117120822772177</v>
      </c>
      <c r="AE112" s="10">
        <v>100</v>
      </c>
      <c r="AF112" s="5"/>
    </row>
    <row r="114" spans="2:32" x14ac:dyDescent="0.3">
      <c r="B114" s="5" t="s">
        <v>34</v>
      </c>
      <c r="E114" s="5">
        <f>AVERAGE(E3:E113)</f>
        <v>21.954545454545453</v>
      </c>
      <c r="K114" s="6">
        <f>AVERAGE(K2:K112)</f>
        <v>3.1092792792792809</v>
      </c>
      <c r="O114" s="7">
        <f>AVERAGE(O2:O112)</f>
        <v>54.549549549549546</v>
      </c>
      <c r="R114" s="5">
        <f>AVERAGE(R2:R112)</f>
        <v>5.1351351351351351</v>
      </c>
      <c r="U114" s="5">
        <f>AVERAGE(U2:U112)</f>
        <v>4.0990990990990994</v>
      </c>
      <c r="Y114" s="5">
        <f>AVERAGE(X2:X112)</f>
        <v>917.52252252252254</v>
      </c>
      <c r="AE114" s="5">
        <f>AVERAGE(AB2:AB112)</f>
        <v>224.44144144144144</v>
      </c>
      <c r="AF114" s="7">
        <f>AVERAGE(AE2:AE112)</f>
        <v>10.912387387387389</v>
      </c>
    </row>
    <row r="115" spans="2:32" x14ac:dyDescent="0.3">
      <c r="B115" s="5" t="s">
        <v>35</v>
      </c>
      <c r="E115" s="5">
        <f>MEDIAN(E3:E113)</f>
        <v>21.5</v>
      </c>
      <c r="K115" s="6">
        <f>MEDIAN(K2:K112)</f>
        <v>3.1</v>
      </c>
      <c r="O115" s="7">
        <f>MEDIAN(O2:O112)</f>
        <v>55</v>
      </c>
      <c r="R115" s="5">
        <f>MEDIAN(R2:R112)</f>
        <v>5</v>
      </c>
      <c r="U115" s="5">
        <f>MEDIAN(U2:U112)</f>
        <v>4</v>
      </c>
      <c r="Y115" s="5">
        <f>MEDIAN(X2:X112)</f>
        <v>860</v>
      </c>
      <c r="AE115" s="5">
        <f>MEDIAN(AB2:AB112)</f>
        <v>150</v>
      </c>
      <c r="AF115" s="7">
        <f>MEDIAN(AE2:AE112)</f>
        <v>2</v>
      </c>
    </row>
    <row r="116" spans="2:32" x14ac:dyDescent="0.3">
      <c r="B116" s="5" t="s">
        <v>36</v>
      </c>
      <c r="E116" s="5">
        <f>_xlfn.STDEV.S(E2:E113)</f>
        <v>2.4024966538978121</v>
      </c>
      <c r="K116" s="6">
        <f>STDEV(K2:K112)</f>
        <v>0.40165048512743495</v>
      </c>
      <c r="O116" s="7">
        <f>_xlfn.STDEV.S(O2:O112)</f>
        <v>10.536075462850764</v>
      </c>
      <c r="R116" s="5">
        <f>_xlfn.STDEV.S(R2:R112)</f>
        <v>2.8746113934566289</v>
      </c>
      <c r="U116" s="5">
        <f>_xlfn.STDEV.S(U2:U112)</f>
        <v>1.1751592151700894</v>
      </c>
      <c r="Y116" s="5">
        <f>_xlfn.STDEV.S(X2:X112)</f>
        <v>230.67181909476537</v>
      </c>
      <c r="AE116" s="5">
        <f>_xlfn.STDEV.S(AB2:AB112)</f>
        <v>205.20932482289149</v>
      </c>
      <c r="AF116" s="7">
        <f>_xlfn.STDEV.S(AE2:AE112)</f>
        <v>23.534371593353015</v>
      </c>
    </row>
    <row r="117" spans="2:32" x14ac:dyDescent="0.3">
      <c r="B117" s="5" t="s">
        <v>37</v>
      </c>
      <c r="E117" s="5">
        <f>SKEW(E2:E112)</f>
        <v>0.92561351991090435</v>
      </c>
      <c r="K117" s="6">
        <f>SKEW(K2:K112)</f>
        <v>-0.40681951593719473</v>
      </c>
      <c r="O117" s="7">
        <f>SKEW(O2:O112)</f>
        <v>0.36573193553541805</v>
      </c>
      <c r="R117" s="5">
        <f>SKEW(R2:R112)</f>
        <v>0.85593918007120506</v>
      </c>
      <c r="U117" s="5">
        <f>SKEW(U2:U112)</f>
        <v>-0.50353413739006336</v>
      </c>
      <c r="Y117" s="5">
        <f>SKEW(X2:X112)</f>
        <v>1.8179907322589821</v>
      </c>
      <c r="AE117" s="5">
        <f>SKEW(AB2:AB112)</f>
        <v>1.0138981894383279</v>
      </c>
      <c r="AF117" s="7">
        <f>SKEW(AE2:AE112)</f>
        <v>2.9724032325342602</v>
      </c>
    </row>
    <row r="118" spans="2:32" x14ac:dyDescent="0.3">
      <c r="B118" s="5" t="s">
        <v>38</v>
      </c>
      <c r="E118" s="5">
        <f>KURT(E1:E112)</f>
        <v>1.1842220445712139</v>
      </c>
      <c r="K118" s="6">
        <f>KURT(K2:K112)</f>
        <v>-0.20741179094139017</v>
      </c>
      <c r="O118" s="7">
        <f>KURT(O2:O112)</f>
        <v>0.46600350828996095</v>
      </c>
      <c r="R118" s="5">
        <f>KURT(R2:R112)</f>
        <v>1.0764788666221601</v>
      </c>
      <c r="U118" s="5">
        <f>KURT(U2:U112)</f>
        <v>0.77761443272178443</v>
      </c>
      <c r="Y118" s="5">
        <f>KURT(X2:X112)</f>
        <v>5.1634142146519757</v>
      </c>
      <c r="AE118" s="5">
        <f>KURT(AB2:AB112)</f>
        <v>0.16888019898860218</v>
      </c>
      <c r="AF118" s="7">
        <f>KURT(AE2:AE112)</f>
        <v>7.9996478172045258</v>
      </c>
    </row>
  </sheetData>
  <sortState ref="A2:AE112">
    <sortCondition ref="AE2:AE112"/>
  </sortState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2015-08-12T16:36:51Z</dcterms:created>
  <dcterms:modified xsi:type="dcterms:W3CDTF">2025-10-31T10:06:16Z</dcterms:modified>
</cp:coreProperties>
</file>